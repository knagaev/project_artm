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TM\books\"/>
    </mc:Choice>
  </mc:AlternateContent>
  <xr:revisionPtr revIDLastSave="0" documentId="13_ncr:1_{9589777E-F56C-466E-952C-C46E5CF2B639}" xr6:coauthVersionLast="47" xr6:coauthVersionMax="47" xr10:uidLastSave="{00000000-0000-0000-0000-000000000000}"/>
  <bookViews>
    <workbookView xWindow="-120" yWindow="-120" windowWidth="20730" windowHeight="11160" xr2:uid="{23294E90-D4C9-4A4B-8BC5-84E4DEE6A88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4" i="1" l="1"/>
  <c r="H74" i="1"/>
  <c r="I74" i="1"/>
  <c r="G75" i="1"/>
  <c r="H75" i="1"/>
  <c r="I75" i="1"/>
  <c r="F75" i="1"/>
  <c r="F74" i="1"/>
  <c r="G69" i="1"/>
  <c r="H69" i="1"/>
  <c r="I69" i="1"/>
  <c r="F69" i="1"/>
  <c r="I68" i="1"/>
  <c r="H68" i="1"/>
  <c r="G68" i="1"/>
  <c r="F68" i="1"/>
  <c r="I67" i="1"/>
  <c r="H67" i="1"/>
  <c r="G67" i="1"/>
  <c r="F67" i="1"/>
  <c r="C74" i="1"/>
  <c r="C75" i="1"/>
  <c r="C76" i="1"/>
  <c r="B75" i="1"/>
  <c r="B76" i="1"/>
  <c r="B74" i="1"/>
  <c r="C70" i="1"/>
  <c r="B70" i="1"/>
  <c r="C69" i="1"/>
  <c r="C68" i="1"/>
  <c r="C67" i="1"/>
  <c r="B69" i="1"/>
  <c r="B68" i="1"/>
  <c r="B67" i="1"/>
  <c r="F61" i="1"/>
  <c r="G61" i="1"/>
  <c r="H61" i="1"/>
  <c r="F62" i="1"/>
  <c r="G62" i="1"/>
  <c r="H62" i="1"/>
  <c r="F63" i="1"/>
  <c r="G63" i="1"/>
  <c r="H63" i="1"/>
  <c r="G60" i="1"/>
  <c r="H60" i="1"/>
  <c r="F60" i="1"/>
  <c r="B61" i="1"/>
  <c r="C61" i="1"/>
  <c r="D61" i="1"/>
  <c r="B62" i="1"/>
  <c r="C62" i="1"/>
  <c r="D62" i="1"/>
  <c r="B63" i="1"/>
  <c r="C63" i="1"/>
  <c r="D63" i="1"/>
  <c r="C60" i="1"/>
  <c r="D60" i="1"/>
  <c r="B60" i="1"/>
  <c r="G30" i="1"/>
  <c r="Q30" i="1" s="1"/>
  <c r="H30" i="1"/>
  <c r="Q31" i="1" s="1"/>
  <c r="I30" i="1"/>
  <c r="Q32" i="1" s="1"/>
  <c r="G31" i="1"/>
  <c r="R30" i="1" s="1"/>
  <c r="H31" i="1"/>
  <c r="R31" i="1" s="1"/>
  <c r="I31" i="1"/>
  <c r="R32" i="1" s="1"/>
  <c r="G32" i="1"/>
  <c r="S30" i="1" s="1"/>
  <c r="H32" i="1"/>
  <c r="S31" i="1" s="1"/>
  <c r="I32" i="1"/>
  <c r="S32" i="1" s="1"/>
  <c r="B30" i="1"/>
  <c r="M30" i="1" s="1"/>
  <c r="C30" i="1"/>
  <c r="M31" i="1" s="1"/>
  <c r="D30" i="1"/>
  <c r="M32" i="1" s="1"/>
  <c r="E30" i="1"/>
  <c r="M33" i="1" s="1"/>
  <c r="B31" i="1"/>
  <c r="N30" i="1" s="1"/>
  <c r="C31" i="1"/>
  <c r="N31" i="1" s="1"/>
  <c r="D31" i="1"/>
  <c r="N32" i="1" s="1"/>
  <c r="E31" i="1"/>
  <c r="N33" i="1" s="1"/>
  <c r="B32" i="1"/>
  <c r="O30" i="1" s="1"/>
  <c r="C32" i="1"/>
  <c r="O31" i="1" s="1"/>
  <c r="D32" i="1"/>
  <c r="O32" i="1" s="1"/>
  <c r="E32" i="1"/>
  <c r="O33" i="1" s="1"/>
  <c r="J30" i="1"/>
  <c r="Q33" i="1" s="1"/>
  <c r="J31" i="1"/>
  <c r="R33" i="1" s="1"/>
  <c r="J32" i="1"/>
  <c r="S33" i="1" s="1"/>
  <c r="E53" i="1"/>
  <c r="E54" i="1"/>
  <c r="E55" i="1"/>
  <c r="E52" i="1"/>
  <c r="K10" i="1"/>
  <c r="L10" i="1"/>
  <c r="K11" i="1"/>
  <c r="L11" i="1"/>
  <c r="K12" i="1"/>
  <c r="L12" i="1"/>
  <c r="K13" i="1"/>
  <c r="L13" i="1"/>
  <c r="J11" i="1"/>
  <c r="J12" i="1"/>
  <c r="J13" i="1"/>
  <c r="J10" i="1"/>
  <c r="H3" i="1"/>
  <c r="H46" i="1" l="1"/>
  <c r="D46" i="1"/>
  <c r="C45" i="1"/>
  <c r="D47" i="1"/>
  <c r="B47" i="1"/>
  <c r="B48" i="1"/>
  <c r="D40" i="1"/>
  <c r="H48" i="1" s="1"/>
  <c r="D48" i="1"/>
  <c r="D38" i="1"/>
  <c r="B39" i="1"/>
  <c r="F47" i="1" s="1"/>
  <c r="B40" i="1"/>
  <c r="F48" i="1" s="1"/>
  <c r="B37" i="1"/>
  <c r="D39" i="1"/>
  <c r="H47" i="1" s="1"/>
  <c r="C39" i="1"/>
  <c r="G47" i="1" s="1"/>
  <c r="C40" i="1"/>
  <c r="C38" i="1"/>
  <c r="B38" i="1"/>
  <c r="B46" i="1" s="1"/>
  <c r="C37" i="1"/>
  <c r="G45" i="1" s="1"/>
  <c r="D37" i="1"/>
  <c r="D45" i="1" s="1"/>
  <c r="F45" i="1" l="1"/>
  <c r="B45" i="1"/>
  <c r="H45" i="1"/>
  <c r="G46" i="1"/>
  <c r="C46" i="1"/>
  <c r="F46" i="1"/>
  <c r="C47" i="1"/>
  <c r="G48" i="1"/>
  <c r="C48" i="1"/>
</calcChain>
</file>

<file path=xl/sharedStrings.xml><?xml version="1.0" encoding="utf-8"?>
<sst xmlns="http://schemas.openxmlformats.org/spreadsheetml/2006/main" count="184" uniqueCount="38">
  <si>
    <t>t1</t>
  </si>
  <si>
    <t>лыжи</t>
  </si>
  <si>
    <t>t2</t>
  </si>
  <si>
    <t>w1</t>
  </si>
  <si>
    <t>w2</t>
  </si>
  <si>
    <t>w3</t>
  </si>
  <si>
    <t>гора</t>
  </si>
  <si>
    <t>снег</t>
  </si>
  <si>
    <t>камень</t>
  </si>
  <si>
    <t>d1</t>
  </si>
  <si>
    <t>d2</t>
  </si>
  <si>
    <t>d3</t>
  </si>
  <si>
    <t>d4</t>
  </si>
  <si>
    <t>n_dw</t>
  </si>
  <si>
    <t>n_d</t>
  </si>
  <si>
    <t>n_w</t>
  </si>
  <si>
    <t>n</t>
  </si>
  <si>
    <t>p_t</t>
  </si>
  <si>
    <t>n_t</t>
  </si>
  <si>
    <t>скалы</t>
  </si>
  <si>
    <t>n_tdw</t>
  </si>
  <si>
    <t>n_wt</t>
  </si>
  <si>
    <t>p_wt</t>
  </si>
  <si>
    <t>p_wd</t>
  </si>
  <si>
    <t>phi_wt * teta_td</t>
  </si>
  <si>
    <t>sum_s(phi_ws * teta_sd) (T, D, W)</t>
  </si>
  <si>
    <t>phi_wt * teta_td (T, W, D) -&gt; (T, D, W)</t>
  </si>
  <si>
    <t>phi_wt (W,T)</t>
  </si>
  <si>
    <t>teta_td (T,D)</t>
  </si>
  <si>
    <t>n_dw (D, W)</t>
  </si>
  <si>
    <t>n_d (D, )</t>
  </si>
  <si>
    <t>p_tdw = norm(phi_wt * teta_td) (T, D, W)</t>
  </si>
  <si>
    <t>n_tdw = n_dw * norm(phi_wt * teta_td) (T, D, W)</t>
  </si>
  <si>
    <t>n_wt (W,T)</t>
  </si>
  <si>
    <t>n_t (T, )</t>
  </si>
  <si>
    <t>n_td (T,D)</t>
  </si>
  <si>
    <t>new_phi_wt (W,T)</t>
  </si>
  <si>
    <t>new_teta_td (T,D)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</si>
</sst>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D8A25-739C-4E9E-9886-F848EFEF273B}">
  <dimension ref="A2:S76"/>
  <sheetViews>
    <sheetView tabSelected="1" topLeftCell="A58" workbookViewId="0">
      <selection activeCell="I70" sqref="I70"/>
    </sheetView>
  </sheetViews>
  <sheetFormatPr defaultRowHeight="15" x14ac:dyDescent="0.25"/>
  <cols>
    <col min="2" max="2" width="9.7109375" customWidth="1"/>
  </cols>
  <sheetData>
    <row r="2" spans="1:19" x14ac:dyDescent="0.25">
      <c r="F2" s="13" t="s">
        <v>16</v>
      </c>
      <c r="G2" s="13" t="s">
        <v>18</v>
      </c>
      <c r="H2" s="13" t="s">
        <v>17</v>
      </c>
    </row>
    <row r="3" spans="1:19" x14ac:dyDescent="0.25">
      <c r="F3" s="12">
        <v>14</v>
      </c>
      <c r="G3" s="12">
        <v>2</v>
      </c>
      <c r="H3" s="12">
        <f>G3/F3</f>
        <v>0.14285714285714285</v>
      </c>
    </row>
    <row r="4" spans="1:19" x14ac:dyDescent="0.25">
      <c r="A4" s="5"/>
      <c r="B4" s="5"/>
    </row>
    <row r="5" spans="1:19" x14ac:dyDescent="0.25">
      <c r="C5" s="13" t="s">
        <v>15</v>
      </c>
    </row>
    <row r="6" spans="1:19" x14ac:dyDescent="0.25">
      <c r="A6" s="1" t="s">
        <v>3</v>
      </c>
      <c r="B6" s="3" t="s">
        <v>6</v>
      </c>
      <c r="C6" s="11">
        <v>5</v>
      </c>
    </row>
    <row r="7" spans="1:19" x14ac:dyDescent="0.25">
      <c r="A7" s="4" t="s">
        <v>4</v>
      </c>
      <c r="B7" s="6" t="s">
        <v>7</v>
      </c>
      <c r="C7" s="11">
        <v>4</v>
      </c>
      <c r="N7" s="14" t="s">
        <v>20</v>
      </c>
      <c r="O7" s="15"/>
      <c r="P7" s="15"/>
      <c r="Q7" s="15"/>
      <c r="R7" s="15"/>
      <c r="S7" s="16"/>
    </row>
    <row r="8" spans="1:19" x14ac:dyDescent="0.25">
      <c r="A8" s="7" t="s">
        <v>5</v>
      </c>
      <c r="B8" s="9" t="s">
        <v>8</v>
      </c>
      <c r="C8" s="12">
        <v>5</v>
      </c>
      <c r="F8" s="13" t="s">
        <v>14</v>
      </c>
      <c r="G8" s="14" t="s">
        <v>13</v>
      </c>
      <c r="H8" s="15"/>
      <c r="I8" s="16"/>
      <c r="J8" s="14" t="s">
        <v>23</v>
      </c>
      <c r="K8" s="15"/>
      <c r="L8" s="16"/>
      <c r="N8" s="14" t="s">
        <v>0</v>
      </c>
      <c r="O8" s="15"/>
      <c r="P8" s="16"/>
      <c r="Q8" s="14" t="s">
        <v>2</v>
      </c>
      <c r="R8" s="15"/>
      <c r="S8" s="16"/>
    </row>
    <row r="9" spans="1:19" x14ac:dyDescent="0.25">
      <c r="F9" s="13"/>
      <c r="G9" s="14" t="s">
        <v>3</v>
      </c>
      <c r="H9" s="15" t="s">
        <v>4</v>
      </c>
      <c r="I9" s="16" t="s">
        <v>5</v>
      </c>
      <c r="J9" s="14" t="s">
        <v>3</v>
      </c>
      <c r="K9" s="15" t="s">
        <v>4</v>
      </c>
      <c r="L9" s="16" t="s">
        <v>5</v>
      </c>
      <c r="N9" s="14" t="s">
        <v>3</v>
      </c>
      <c r="O9" s="15" t="s">
        <v>4</v>
      </c>
      <c r="P9" s="16" t="s">
        <v>5</v>
      </c>
      <c r="Q9" s="14" t="s">
        <v>3</v>
      </c>
      <c r="R9" s="15" t="s">
        <v>4</v>
      </c>
      <c r="S9" s="16" t="s">
        <v>5</v>
      </c>
    </row>
    <row r="10" spans="1:19" x14ac:dyDescent="0.25">
      <c r="A10" s="1" t="s">
        <v>9</v>
      </c>
      <c r="B10" s="2" t="s">
        <v>6</v>
      </c>
      <c r="C10" s="2" t="s">
        <v>7</v>
      </c>
      <c r="D10" s="2" t="s">
        <v>6</v>
      </c>
      <c r="E10" s="3"/>
      <c r="F10" s="11">
        <v>3</v>
      </c>
      <c r="G10" s="4">
        <v>2</v>
      </c>
      <c r="H10" s="5">
        <v>1</v>
      </c>
      <c r="I10" s="6">
        <v>0</v>
      </c>
      <c r="J10" s="4">
        <f>G10/$F10</f>
        <v>0.66666666666666663</v>
      </c>
      <c r="K10" s="5">
        <f t="shared" ref="K10:L13" si="0">H10/$F10</f>
        <v>0.33333333333333331</v>
      </c>
      <c r="L10" s="6">
        <f t="shared" si="0"/>
        <v>0</v>
      </c>
      <c r="N10" s="4"/>
      <c r="O10" s="5"/>
      <c r="P10" s="6"/>
      <c r="Q10" s="4"/>
      <c r="R10" s="5"/>
      <c r="S10" s="6"/>
    </row>
    <row r="11" spans="1:19" x14ac:dyDescent="0.25">
      <c r="A11" s="4" t="s">
        <v>10</v>
      </c>
      <c r="B11" s="5" t="s">
        <v>6</v>
      </c>
      <c r="C11" s="5" t="s">
        <v>8</v>
      </c>
      <c r="D11" s="5" t="s">
        <v>8</v>
      </c>
      <c r="E11" s="6"/>
      <c r="F11" s="11">
        <v>3</v>
      </c>
      <c r="G11" s="4">
        <v>1</v>
      </c>
      <c r="H11" s="5">
        <v>0</v>
      </c>
      <c r="I11" s="6">
        <v>2</v>
      </c>
      <c r="J11" s="4">
        <f t="shared" ref="J11:J13" si="1">G11/$F11</f>
        <v>0.33333333333333331</v>
      </c>
      <c r="K11" s="5">
        <f t="shared" si="0"/>
        <v>0</v>
      </c>
      <c r="L11" s="6">
        <f t="shared" si="0"/>
        <v>0.66666666666666663</v>
      </c>
      <c r="N11" s="4"/>
      <c r="O11" s="5"/>
      <c r="P11" s="6"/>
      <c r="Q11" s="4"/>
      <c r="R11" s="5"/>
      <c r="S11" s="6"/>
    </row>
    <row r="12" spans="1:19" x14ac:dyDescent="0.25">
      <c r="A12" s="4" t="s">
        <v>11</v>
      </c>
      <c r="B12" s="5" t="s">
        <v>7</v>
      </c>
      <c r="C12" s="5" t="s">
        <v>7</v>
      </c>
      <c r="D12" s="5" t="s">
        <v>7</v>
      </c>
      <c r="E12" s="6" t="s">
        <v>6</v>
      </c>
      <c r="F12" s="11">
        <v>4</v>
      </c>
      <c r="G12" s="4">
        <v>1</v>
      </c>
      <c r="H12" s="5">
        <v>3</v>
      </c>
      <c r="I12" s="6">
        <v>0</v>
      </c>
      <c r="J12" s="4">
        <f t="shared" si="1"/>
        <v>0.25</v>
      </c>
      <c r="K12" s="5">
        <f t="shared" si="0"/>
        <v>0.75</v>
      </c>
      <c r="L12" s="6">
        <f t="shared" si="0"/>
        <v>0</v>
      </c>
      <c r="N12" s="4"/>
      <c r="O12" s="5"/>
      <c r="P12" s="6"/>
      <c r="Q12" s="4"/>
      <c r="R12" s="5"/>
      <c r="S12" s="6"/>
    </row>
    <row r="13" spans="1:19" x14ac:dyDescent="0.25">
      <c r="A13" s="7" t="s">
        <v>12</v>
      </c>
      <c r="B13" s="8" t="s">
        <v>8</v>
      </c>
      <c r="C13" s="8" t="s">
        <v>8</v>
      </c>
      <c r="D13" s="8" t="s">
        <v>8</v>
      </c>
      <c r="E13" s="9" t="s">
        <v>6</v>
      </c>
      <c r="F13" s="12">
        <v>4</v>
      </c>
      <c r="G13" s="7">
        <v>0</v>
      </c>
      <c r="H13" s="8">
        <v>1</v>
      </c>
      <c r="I13" s="9">
        <v>3</v>
      </c>
      <c r="J13" s="7">
        <f t="shared" si="1"/>
        <v>0</v>
      </c>
      <c r="K13" s="8">
        <f t="shared" si="0"/>
        <v>0.25</v>
      </c>
      <c r="L13" s="9">
        <f t="shared" si="0"/>
        <v>0.75</v>
      </c>
      <c r="N13" s="7"/>
      <c r="O13" s="8"/>
      <c r="P13" s="9"/>
      <c r="Q13" s="7"/>
      <c r="R13" s="8"/>
      <c r="S13" s="9"/>
    </row>
    <row r="16" spans="1:19" x14ac:dyDescent="0.25">
      <c r="C16" s="14" t="s">
        <v>21</v>
      </c>
      <c r="D16" s="15"/>
      <c r="E16" s="16"/>
      <c r="F16" s="14" t="s">
        <v>22</v>
      </c>
      <c r="G16" s="15"/>
      <c r="H16" s="16"/>
    </row>
    <row r="17" spans="1:19" x14ac:dyDescent="0.25">
      <c r="C17" s="1" t="s">
        <v>3</v>
      </c>
      <c r="D17" s="2" t="s">
        <v>4</v>
      </c>
      <c r="E17" s="3" t="s">
        <v>5</v>
      </c>
      <c r="F17" s="1" t="s">
        <v>3</v>
      </c>
      <c r="G17" s="2" t="s">
        <v>4</v>
      </c>
      <c r="H17" s="3" t="s">
        <v>5</v>
      </c>
    </row>
    <row r="18" spans="1:19" x14ac:dyDescent="0.25">
      <c r="A18" s="1" t="s">
        <v>0</v>
      </c>
      <c r="B18" s="3" t="s">
        <v>1</v>
      </c>
      <c r="C18" s="4"/>
      <c r="D18" s="5"/>
      <c r="E18" s="6"/>
      <c r="F18" s="4"/>
      <c r="G18" s="5"/>
      <c r="H18" s="6"/>
    </row>
    <row r="19" spans="1:19" x14ac:dyDescent="0.25">
      <c r="A19" s="7" t="s">
        <v>2</v>
      </c>
      <c r="B19" s="9" t="s">
        <v>19</v>
      </c>
      <c r="C19" s="7"/>
      <c r="D19" s="8"/>
      <c r="E19" s="9"/>
      <c r="F19" s="7"/>
      <c r="G19" s="8"/>
      <c r="H19" s="9"/>
    </row>
    <row r="21" spans="1:19" x14ac:dyDescent="0.25">
      <c r="A21" s="14" t="s">
        <v>27</v>
      </c>
      <c r="B21" s="15"/>
      <c r="C21" s="16"/>
      <c r="E21" s="14" t="s">
        <v>28</v>
      </c>
      <c r="F21" s="15"/>
      <c r="G21" s="15"/>
      <c r="H21" s="15"/>
      <c r="I21" s="16"/>
    </row>
    <row r="22" spans="1:19" x14ac:dyDescent="0.25">
      <c r="A22" s="13"/>
      <c r="B22" s="17" t="s">
        <v>0</v>
      </c>
      <c r="C22" s="18" t="s">
        <v>2</v>
      </c>
      <c r="E22" s="13"/>
      <c r="F22" s="21" t="s">
        <v>9</v>
      </c>
      <c r="G22" s="21" t="s">
        <v>10</v>
      </c>
      <c r="H22" s="21" t="s">
        <v>11</v>
      </c>
      <c r="I22" s="22" t="s">
        <v>12</v>
      </c>
    </row>
    <row r="23" spans="1:19" x14ac:dyDescent="0.25">
      <c r="A23" s="19" t="s">
        <v>3</v>
      </c>
      <c r="B23" s="1">
        <v>0</v>
      </c>
      <c r="C23" s="3">
        <v>1</v>
      </c>
      <c r="E23" s="23" t="s">
        <v>0</v>
      </c>
      <c r="F23" s="5">
        <v>0</v>
      </c>
      <c r="G23" s="5">
        <v>1</v>
      </c>
      <c r="H23" s="5">
        <v>2</v>
      </c>
      <c r="I23" s="6">
        <v>3</v>
      </c>
    </row>
    <row r="24" spans="1:19" x14ac:dyDescent="0.25">
      <c r="A24" s="19" t="s">
        <v>4</v>
      </c>
      <c r="B24" s="4">
        <v>2</v>
      </c>
      <c r="C24" s="6">
        <v>3</v>
      </c>
      <c r="E24" s="24" t="s">
        <v>2</v>
      </c>
      <c r="F24" s="8">
        <v>4</v>
      </c>
      <c r="G24" s="8">
        <v>5</v>
      </c>
      <c r="H24" s="8">
        <v>6</v>
      </c>
      <c r="I24" s="9">
        <v>7</v>
      </c>
    </row>
    <row r="25" spans="1:19" x14ac:dyDescent="0.25">
      <c r="A25" s="20" t="s">
        <v>5</v>
      </c>
      <c r="B25" s="7">
        <v>4</v>
      </c>
      <c r="C25" s="9">
        <v>5</v>
      </c>
      <c r="E25" s="5"/>
      <c r="F25" s="5"/>
      <c r="G25" s="5"/>
    </row>
    <row r="27" spans="1:19" x14ac:dyDescent="0.25">
      <c r="A27" s="14" t="s">
        <v>24</v>
      </c>
      <c r="B27" s="15"/>
      <c r="C27" s="15"/>
      <c r="D27" s="15"/>
      <c r="E27" s="15"/>
      <c r="F27" s="15"/>
      <c r="G27" s="15"/>
      <c r="H27" s="15"/>
      <c r="I27" s="15"/>
      <c r="J27" s="16"/>
      <c r="L27" t="s">
        <v>26</v>
      </c>
    </row>
    <row r="28" spans="1:19" x14ac:dyDescent="0.25">
      <c r="A28" s="25" t="s">
        <v>0</v>
      </c>
      <c r="B28" s="26"/>
      <c r="C28" s="26"/>
      <c r="D28" s="26"/>
      <c r="E28" s="27"/>
      <c r="F28" s="25" t="s">
        <v>2</v>
      </c>
      <c r="G28" s="26"/>
      <c r="H28" s="26"/>
      <c r="I28" s="26"/>
      <c r="J28" s="27"/>
      <c r="L28" s="25" t="s">
        <v>0</v>
      </c>
      <c r="M28" s="15"/>
      <c r="N28" s="15"/>
      <c r="O28" s="15"/>
      <c r="P28" s="25" t="s">
        <v>2</v>
      </c>
      <c r="Q28" s="15"/>
      <c r="R28" s="15"/>
      <c r="S28" s="16"/>
    </row>
    <row r="29" spans="1:19" x14ac:dyDescent="0.25">
      <c r="A29" s="28"/>
      <c r="B29" s="29" t="s">
        <v>9</v>
      </c>
      <c r="C29" s="29" t="s">
        <v>10</v>
      </c>
      <c r="D29" s="29" t="s">
        <v>11</v>
      </c>
      <c r="E29" s="30" t="s">
        <v>12</v>
      </c>
      <c r="F29" s="31"/>
      <c r="G29" s="29" t="s">
        <v>9</v>
      </c>
      <c r="H29" s="29" t="s">
        <v>10</v>
      </c>
      <c r="I29" s="29" t="s">
        <v>11</v>
      </c>
      <c r="J29" s="30" t="s">
        <v>12</v>
      </c>
      <c r="L29" s="31"/>
      <c r="M29" s="29" t="s">
        <v>3</v>
      </c>
      <c r="N29" s="29" t="s">
        <v>4</v>
      </c>
      <c r="O29" s="29" t="s">
        <v>5</v>
      </c>
      <c r="P29" s="31"/>
      <c r="Q29" s="29" t="s">
        <v>3</v>
      </c>
      <c r="R29" s="29" t="s">
        <v>4</v>
      </c>
      <c r="S29" s="30" t="s">
        <v>5</v>
      </c>
    </row>
    <row r="30" spans="1:19" x14ac:dyDescent="0.25">
      <c r="A30" s="32" t="s">
        <v>3</v>
      </c>
      <c r="B30" s="2">
        <f>$B23*F$23</f>
        <v>0</v>
      </c>
      <c r="C30" s="2">
        <f>$B23*G$23</f>
        <v>0</v>
      </c>
      <c r="D30" s="2">
        <f>$B23*H$23</f>
        <v>0</v>
      </c>
      <c r="E30" s="2">
        <f>$B23*I$23</f>
        <v>0</v>
      </c>
      <c r="F30" s="32" t="s">
        <v>3</v>
      </c>
      <c r="G30" s="2">
        <f>$C23*F$24</f>
        <v>4</v>
      </c>
      <c r="H30" s="2">
        <f>$C23*G$24</f>
        <v>5</v>
      </c>
      <c r="I30" s="2">
        <f>$C23*H$24</f>
        <v>6</v>
      </c>
      <c r="J30" s="3">
        <f>$C23*I$24</f>
        <v>7</v>
      </c>
      <c r="L30" s="33" t="s">
        <v>9</v>
      </c>
      <c r="M30" s="1">
        <f>B30</f>
        <v>0</v>
      </c>
      <c r="N30" s="2">
        <f>B31</f>
        <v>0</v>
      </c>
      <c r="O30" s="2">
        <f>B32</f>
        <v>0</v>
      </c>
      <c r="P30" s="32" t="s">
        <v>9</v>
      </c>
      <c r="Q30" s="2">
        <f>G30</f>
        <v>4</v>
      </c>
      <c r="R30" s="2">
        <f>G31</f>
        <v>12</v>
      </c>
      <c r="S30" s="3">
        <f>G32</f>
        <v>20</v>
      </c>
    </row>
    <row r="31" spans="1:19" x14ac:dyDescent="0.25">
      <c r="A31" s="33" t="s">
        <v>4</v>
      </c>
      <c r="B31" s="5">
        <f>$B24*F$23</f>
        <v>0</v>
      </c>
      <c r="C31" s="5">
        <f>$B24*G$23</f>
        <v>2</v>
      </c>
      <c r="D31" s="5">
        <f>$B24*H$23</f>
        <v>4</v>
      </c>
      <c r="E31" s="5">
        <f>$B24*I$23</f>
        <v>6</v>
      </c>
      <c r="F31" s="33" t="s">
        <v>4</v>
      </c>
      <c r="G31" s="5">
        <f>$C24*F$24</f>
        <v>12</v>
      </c>
      <c r="H31" s="5">
        <f>$C24*G$24</f>
        <v>15</v>
      </c>
      <c r="I31" s="5">
        <f>$C24*H$24</f>
        <v>18</v>
      </c>
      <c r="J31" s="6">
        <f>$C24*I$24</f>
        <v>21</v>
      </c>
      <c r="L31" s="33" t="s">
        <v>10</v>
      </c>
      <c r="M31" s="4">
        <f>C30</f>
        <v>0</v>
      </c>
      <c r="N31" s="5">
        <f>C31</f>
        <v>2</v>
      </c>
      <c r="O31" s="5">
        <f>C32</f>
        <v>4</v>
      </c>
      <c r="P31" s="33" t="s">
        <v>10</v>
      </c>
      <c r="Q31" s="5">
        <f>H30</f>
        <v>5</v>
      </c>
      <c r="R31" s="5">
        <f>H31</f>
        <v>15</v>
      </c>
      <c r="S31" s="6">
        <f>H32</f>
        <v>25</v>
      </c>
    </row>
    <row r="32" spans="1:19" x14ac:dyDescent="0.25">
      <c r="A32" s="34" t="s">
        <v>5</v>
      </c>
      <c r="B32" s="8">
        <f>$B25*F$23</f>
        <v>0</v>
      </c>
      <c r="C32" s="8">
        <f>$B25*G$23</f>
        <v>4</v>
      </c>
      <c r="D32" s="8">
        <f>$B25*H$23</f>
        <v>8</v>
      </c>
      <c r="E32" s="8">
        <f>$B25*I$23</f>
        <v>12</v>
      </c>
      <c r="F32" s="34" t="s">
        <v>5</v>
      </c>
      <c r="G32" s="8">
        <f>$C25*F$24</f>
        <v>20</v>
      </c>
      <c r="H32" s="8">
        <f>$C25*G$24</f>
        <v>25</v>
      </c>
      <c r="I32" s="8">
        <f>$C25*H$24</f>
        <v>30</v>
      </c>
      <c r="J32" s="9">
        <f>$C25*I$24</f>
        <v>35</v>
      </c>
      <c r="L32" s="33" t="s">
        <v>11</v>
      </c>
      <c r="M32" s="4">
        <f>D30</f>
        <v>0</v>
      </c>
      <c r="N32" s="5">
        <f>D31</f>
        <v>4</v>
      </c>
      <c r="O32" s="5">
        <f>D32</f>
        <v>8</v>
      </c>
      <c r="P32" s="33" t="s">
        <v>11</v>
      </c>
      <c r="Q32" s="5">
        <f>I30</f>
        <v>6</v>
      </c>
      <c r="R32" s="5">
        <f>I31</f>
        <v>18</v>
      </c>
      <c r="S32" s="6">
        <f>I32</f>
        <v>30</v>
      </c>
    </row>
    <row r="33" spans="1:19" x14ac:dyDescent="0.25">
      <c r="A33" s="40"/>
      <c r="B33" s="5"/>
      <c r="C33" s="5"/>
      <c r="D33" s="5"/>
      <c r="E33" s="5"/>
      <c r="F33" s="40"/>
      <c r="G33" s="5"/>
      <c r="H33" s="5"/>
      <c r="I33" s="5"/>
      <c r="J33" s="5"/>
      <c r="L33" s="34" t="s">
        <v>12</v>
      </c>
      <c r="M33" s="7">
        <f>E30</f>
        <v>0</v>
      </c>
      <c r="N33" s="8">
        <f>E31</f>
        <v>6</v>
      </c>
      <c r="O33" s="8">
        <f>E32</f>
        <v>12</v>
      </c>
      <c r="P33" s="34" t="s">
        <v>12</v>
      </c>
      <c r="Q33" s="8">
        <f>J30</f>
        <v>7</v>
      </c>
      <c r="R33" s="8">
        <f>J31</f>
        <v>21</v>
      </c>
      <c r="S33" s="9">
        <f>J32</f>
        <v>35</v>
      </c>
    </row>
    <row r="35" spans="1:19" x14ac:dyDescent="0.25">
      <c r="A35" s="14" t="s">
        <v>25</v>
      </c>
      <c r="B35" s="15"/>
      <c r="C35" s="15"/>
      <c r="D35" s="16"/>
    </row>
    <row r="36" spans="1:19" x14ac:dyDescent="0.25">
      <c r="A36" s="31"/>
      <c r="B36" s="35" t="s">
        <v>3</v>
      </c>
      <c r="C36" s="35" t="s">
        <v>4</v>
      </c>
      <c r="D36" s="36" t="s">
        <v>5</v>
      </c>
    </row>
    <row r="37" spans="1:19" x14ac:dyDescent="0.25">
      <c r="A37" s="38" t="s">
        <v>9</v>
      </c>
      <c r="B37" s="1">
        <f>M30+Q30</f>
        <v>4</v>
      </c>
      <c r="C37" s="2">
        <f t="shared" ref="C37:D37" si="2">N30+R30</f>
        <v>12</v>
      </c>
      <c r="D37" s="3">
        <f t="shared" si="2"/>
        <v>20</v>
      </c>
    </row>
    <row r="38" spans="1:19" x14ac:dyDescent="0.25">
      <c r="A38" s="38" t="s">
        <v>10</v>
      </c>
      <c r="B38" s="4">
        <f t="shared" ref="B38:B40" si="3">M31+Q31</f>
        <v>5</v>
      </c>
      <c r="C38" s="5">
        <f t="shared" ref="C38:C40" si="4">N31+R31</f>
        <v>17</v>
      </c>
      <c r="D38" s="6">
        <f t="shared" ref="D38:D40" si="5">O31+S31</f>
        <v>29</v>
      </c>
    </row>
    <row r="39" spans="1:19" x14ac:dyDescent="0.25">
      <c r="A39" s="38" t="s">
        <v>11</v>
      </c>
      <c r="B39" s="4">
        <f t="shared" si="3"/>
        <v>6</v>
      </c>
      <c r="C39" s="5">
        <f t="shared" si="4"/>
        <v>22</v>
      </c>
      <c r="D39" s="6">
        <f t="shared" si="5"/>
        <v>38</v>
      </c>
    </row>
    <row r="40" spans="1:19" x14ac:dyDescent="0.25">
      <c r="A40" s="39" t="s">
        <v>12</v>
      </c>
      <c r="B40" s="7">
        <f t="shared" si="3"/>
        <v>7</v>
      </c>
      <c r="C40" s="8">
        <f t="shared" si="4"/>
        <v>27</v>
      </c>
      <c r="D40" s="9">
        <f t="shared" si="5"/>
        <v>47</v>
      </c>
      <c r="E40" s="5"/>
    </row>
    <row r="42" spans="1:19" x14ac:dyDescent="0.25">
      <c r="A42" s="14" t="s">
        <v>31</v>
      </c>
      <c r="B42" s="15"/>
      <c r="C42" s="15"/>
      <c r="D42" s="15"/>
      <c r="E42" s="15"/>
      <c r="F42" s="15"/>
      <c r="G42" s="15"/>
      <c r="H42" s="16"/>
    </row>
    <row r="43" spans="1:19" x14ac:dyDescent="0.25">
      <c r="A43" s="25" t="s">
        <v>0</v>
      </c>
      <c r="B43" s="15"/>
      <c r="C43" s="15"/>
      <c r="D43" s="15"/>
      <c r="E43" s="25" t="s">
        <v>2</v>
      </c>
      <c r="F43" s="15"/>
      <c r="G43" s="15"/>
      <c r="H43" s="16"/>
    </row>
    <row r="44" spans="1:19" x14ac:dyDescent="0.25">
      <c r="A44" s="31"/>
      <c r="B44" s="35" t="s">
        <v>3</v>
      </c>
      <c r="C44" s="35" t="s">
        <v>4</v>
      </c>
      <c r="D44" s="35" t="s">
        <v>5</v>
      </c>
      <c r="E44" s="31"/>
      <c r="F44" s="35" t="s">
        <v>3</v>
      </c>
      <c r="G44" s="35" t="s">
        <v>4</v>
      </c>
      <c r="H44" s="36" t="s">
        <v>5</v>
      </c>
    </row>
    <row r="45" spans="1:19" x14ac:dyDescent="0.25">
      <c r="A45" s="38" t="s">
        <v>9</v>
      </c>
      <c r="B45" s="1">
        <f>M30/B37</f>
        <v>0</v>
      </c>
      <c r="C45" s="2">
        <f t="shared" ref="C45:D45" si="6">N30/C37</f>
        <v>0</v>
      </c>
      <c r="D45" s="3">
        <f t="shared" si="6"/>
        <v>0</v>
      </c>
      <c r="E45" s="35" t="s">
        <v>9</v>
      </c>
      <c r="F45" s="1">
        <f>Q30/B37</f>
        <v>1</v>
      </c>
      <c r="G45" s="2">
        <f t="shared" ref="G45:H45" si="7">R30/C37</f>
        <v>1</v>
      </c>
      <c r="H45" s="3">
        <f t="shared" si="7"/>
        <v>1</v>
      </c>
    </row>
    <row r="46" spans="1:19" x14ac:dyDescent="0.25">
      <c r="A46" s="38" t="s">
        <v>10</v>
      </c>
      <c r="B46" s="4">
        <f t="shared" ref="B46:B48" si="8">M31/B38</f>
        <v>0</v>
      </c>
      <c r="C46" s="5">
        <f t="shared" ref="C46:C48" si="9">N31/C38</f>
        <v>0.11764705882352941</v>
      </c>
      <c r="D46" s="6">
        <f t="shared" ref="D46:D48" si="10">O31/D38</f>
        <v>0.13793103448275862</v>
      </c>
      <c r="E46" s="40" t="s">
        <v>10</v>
      </c>
      <c r="F46" s="4">
        <f t="shared" ref="F46:F48" si="11">Q31/B38</f>
        <v>1</v>
      </c>
      <c r="G46" s="5">
        <f t="shared" ref="G46:G48" si="12">R31/C38</f>
        <v>0.88235294117647056</v>
      </c>
      <c r="H46" s="6">
        <f t="shared" ref="H46:H48" si="13">S31/D38</f>
        <v>0.86206896551724133</v>
      </c>
    </row>
    <row r="47" spans="1:19" x14ac:dyDescent="0.25">
      <c r="A47" s="38" t="s">
        <v>11</v>
      </c>
      <c r="B47" s="4">
        <f t="shared" si="8"/>
        <v>0</v>
      </c>
      <c r="C47" s="5">
        <f t="shared" si="9"/>
        <v>0.18181818181818182</v>
      </c>
      <c r="D47" s="6">
        <f t="shared" si="10"/>
        <v>0.21052631578947367</v>
      </c>
      <c r="E47" s="40" t="s">
        <v>11</v>
      </c>
      <c r="F47" s="4">
        <f t="shared" si="11"/>
        <v>1</v>
      </c>
      <c r="G47" s="5">
        <f t="shared" si="12"/>
        <v>0.81818181818181823</v>
      </c>
      <c r="H47" s="6">
        <f t="shared" si="13"/>
        <v>0.78947368421052633</v>
      </c>
    </row>
    <row r="48" spans="1:19" x14ac:dyDescent="0.25">
      <c r="A48" s="39" t="s">
        <v>12</v>
      </c>
      <c r="B48" s="7">
        <f t="shared" si="8"/>
        <v>0</v>
      </c>
      <c r="C48" s="8">
        <f t="shared" si="9"/>
        <v>0.22222222222222221</v>
      </c>
      <c r="D48" s="9">
        <f t="shared" si="10"/>
        <v>0.25531914893617019</v>
      </c>
      <c r="E48" s="41" t="s">
        <v>12</v>
      </c>
      <c r="F48" s="7">
        <f t="shared" si="11"/>
        <v>1</v>
      </c>
      <c r="G48" s="8">
        <f t="shared" si="12"/>
        <v>0.77777777777777779</v>
      </c>
      <c r="H48" s="9">
        <f t="shared" si="13"/>
        <v>0.74468085106382975</v>
      </c>
      <c r="I48" s="5"/>
    </row>
    <row r="50" spans="1:8" x14ac:dyDescent="0.25">
      <c r="A50" s="43" t="s">
        <v>29</v>
      </c>
      <c r="B50" s="2"/>
      <c r="C50" s="2"/>
      <c r="D50" s="3"/>
      <c r="E50" s="10" t="s">
        <v>30</v>
      </c>
    </row>
    <row r="51" spans="1:8" x14ac:dyDescent="0.25">
      <c r="A51" s="13"/>
      <c r="B51" s="35" t="s">
        <v>3</v>
      </c>
      <c r="C51" s="35" t="s">
        <v>4</v>
      </c>
      <c r="D51" s="36" t="s">
        <v>5</v>
      </c>
      <c r="E51" s="12"/>
    </row>
    <row r="52" spans="1:8" x14ac:dyDescent="0.25">
      <c r="A52" s="37" t="s">
        <v>9</v>
      </c>
      <c r="B52" s="1">
        <v>0</v>
      </c>
      <c r="C52" s="2">
        <v>1</v>
      </c>
      <c r="D52" s="3">
        <v>2</v>
      </c>
      <c r="E52" s="11">
        <f>SUM(B52:D52)</f>
        <v>3</v>
      </c>
    </row>
    <row r="53" spans="1:8" x14ac:dyDescent="0.25">
      <c r="A53" s="38" t="s">
        <v>10</v>
      </c>
      <c r="B53" s="4">
        <v>3</v>
      </c>
      <c r="C53" s="5">
        <v>4</v>
      </c>
      <c r="D53" s="6">
        <v>5</v>
      </c>
      <c r="E53" s="11">
        <f t="shared" ref="E53:E55" si="14">SUM(B53:D53)</f>
        <v>12</v>
      </c>
    </row>
    <row r="54" spans="1:8" x14ac:dyDescent="0.25">
      <c r="A54" s="38" t="s">
        <v>11</v>
      </c>
      <c r="B54" s="4">
        <v>6</v>
      </c>
      <c r="C54" s="5">
        <v>7</v>
      </c>
      <c r="D54" s="6">
        <v>8</v>
      </c>
      <c r="E54" s="11">
        <f t="shared" si="14"/>
        <v>21</v>
      </c>
    </row>
    <row r="55" spans="1:8" x14ac:dyDescent="0.25">
      <c r="A55" s="39" t="s">
        <v>12</v>
      </c>
      <c r="B55" s="7">
        <v>9</v>
      </c>
      <c r="C55" s="8">
        <v>10</v>
      </c>
      <c r="D55" s="9">
        <v>11</v>
      </c>
      <c r="E55" s="12">
        <f t="shared" si="14"/>
        <v>30</v>
      </c>
    </row>
    <row r="57" spans="1:8" x14ac:dyDescent="0.25">
      <c r="A57" s="42" t="s">
        <v>32</v>
      </c>
    </row>
    <row r="58" spans="1:8" x14ac:dyDescent="0.25">
      <c r="A58" s="25" t="s">
        <v>0</v>
      </c>
      <c r="B58" s="15"/>
      <c r="C58" s="15"/>
      <c r="D58" s="15"/>
      <c r="E58" s="25" t="s">
        <v>2</v>
      </c>
      <c r="F58" s="15"/>
      <c r="G58" s="15"/>
      <c r="H58" s="16"/>
    </row>
    <row r="59" spans="1:8" x14ac:dyDescent="0.25">
      <c r="A59" s="31"/>
      <c r="B59" s="35" t="s">
        <v>3</v>
      </c>
      <c r="C59" s="35" t="s">
        <v>4</v>
      </c>
      <c r="D59" s="35" t="s">
        <v>5</v>
      </c>
      <c r="E59" s="31"/>
      <c r="F59" s="35" t="s">
        <v>3</v>
      </c>
      <c r="G59" s="35" t="s">
        <v>4</v>
      </c>
      <c r="H59" s="36" t="s">
        <v>5</v>
      </c>
    </row>
    <row r="60" spans="1:8" x14ac:dyDescent="0.25">
      <c r="A60" s="38" t="s">
        <v>9</v>
      </c>
      <c r="B60" s="1">
        <f>B52*B45</f>
        <v>0</v>
      </c>
      <c r="C60" s="2">
        <f t="shared" ref="C60:D60" si="15">C52*C45</f>
        <v>0</v>
      </c>
      <c r="D60" s="3">
        <f t="shared" si="15"/>
        <v>0</v>
      </c>
      <c r="E60" s="35" t="s">
        <v>9</v>
      </c>
      <c r="F60" s="1">
        <f>B52*F45</f>
        <v>0</v>
      </c>
      <c r="G60" s="2">
        <f t="shared" ref="G60:H60" si="16">C52*G45</f>
        <v>1</v>
      </c>
      <c r="H60" s="3">
        <f t="shared" si="16"/>
        <v>2</v>
      </c>
    </row>
    <row r="61" spans="1:8" x14ac:dyDescent="0.25">
      <c r="A61" s="38" t="s">
        <v>10</v>
      </c>
      <c r="B61" s="4">
        <f t="shared" ref="B61:D61" si="17">B53*B46</f>
        <v>0</v>
      </c>
      <c r="C61" s="5">
        <f t="shared" si="17"/>
        <v>0.47058823529411764</v>
      </c>
      <c r="D61" s="6">
        <f t="shared" si="17"/>
        <v>0.68965517241379315</v>
      </c>
      <c r="E61" s="40" t="s">
        <v>10</v>
      </c>
      <c r="F61" s="4">
        <f t="shared" ref="F61:F63" si="18">B53*F46</f>
        <v>3</v>
      </c>
      <c r="G61" s="5">
        <f t="shared" ref="G61:G63" si="19">C53*G46</f>
        <v>3.5294117647058822</v>
      </c>
      <c r="H61" s="6">
        <f t="shared" ref="H61:H63" si="20">D53*H46</f>
        <v>4.3103448275862064</v>
      </c>
    </row>
    <row r="62" spans="1:8" x14ac:dyDescent="0.25">
      <c r="A62" s="38" t="s">
        <v>11</v>
      </c>
      <c r="B62" s="4">
        <f t="shared" ref="B62:D62" si="21">B54*B47</f>
        <v>0</v>
      </c>
      <c r="C62" s="5">
        <f t="shared" si="21"/>
        <v>1.2727272727272727</v>
      </c>
      <c r="D62" s="6">
        <f t="shared" si="21"/>
        <v>1.6842105263157894</v>
      </c>
      <c r="E62" s="40" t="s">
        <v>11</v>
      </c>
      <c r="F62" s="4">
        <f t="shared" si="18"/>
        <v>6</v>
      </c>
      <c r="G62" s="5">
        <f t="shared" si="19"/>
        <v>5.7272727272727275</v>
      </c>
      <c r="H62" s="6">
        <f t="shared" si="20"/>
        <v>6.3157894736842106</v>
      </c>
    </row>
    <row r="63" spans="1:8" x14ac:dyDescent="0.25">
      <c r="A63" s="39" t="s">
        <v>12</v>
      </c>
      <c r="B63" s="7">
        <f t="shared" ref="B63:D63" si="22">B55*B48</f>
        <v>0</v>
      </c>
      <c r="C63" s="8">
        <f t="shared" si="22"/>
        <v>2.2222222222222223</v>
      </c>
      <c r="D63" s="9">
        <f t="shared" si="22"/>
        <v>2.808510638297872</v>
      </c>
      <c r="E63" s="41" t="s">
        <v>12</v>
      </c>
      <c r="F63" s="7">
        <f t="shared" si="18"/>
        <v>9</v>
      </c>
      <c r="G63" s="8">
        <f t="shared" si="19"/>
        <v>7.7777777777777777</v>
      </c>
      <c r="H63" s="9">
        <f t="shared" si="20"/>
        <v>8.1914893617021267</v>
      </c>
    </row>
    <row r="65" spans="1:10" x14ac:dyDescent="0.25">
      <c r="A65" s="14" t="s">
        <v>33</v>
      </c>
      <c r="B65" s="15"/>
      <c r="C65" s="16"/>
      <c r="E65" s="14" t="s">
        <v>35</v>
      </c>
      <c r="F65" s="15"/>
      <c r="G65" s="15"/>
      <c r="H65" s="15"/>
      <c r="I65" s="16"/>
    </row>
    <row r="66" spans="1:10" x14ac:dyDescent="0.25">
      <c r="A66" s="13"/>
      <c r="B66" s="17" t="s">
        <v>0</v>
      </c>
      <c r="C66" s="18" t="s">
        <v>2</v>
      </c>
      <c r="E66" s="13"/>
      <c r="F66" s="21" t="s">
        <v>9</v>
      </c>
      <c r="G66" s="21" t="s">
        <v>10</v>
      </c>
      <c r="H66" s="21" t="s">
        <v>11</v>
      </c>
      <c r="I66" s="22" t="s">
        <v>12</v>
      </c>
    </row>
    <row r="67" spans="1:10" x14ac:dyDescent="0.25">
      <c r="A67" s="19" t="s">
        <v>3</v>
      </c>
      <c r="B67" s="1">
        <f>SUM(B60:B63)</f>
        <v>0</v>
      </c>
      <c r="C67" s="3">
        <f>SUM(F60:F63)</f>
        <v>18</v>
      </c>
      <c r="E67" s="23" t="s">
        <v>0</v>
      </c>
      <c r="F67" s="1">
        <f>SUM(B60:D60)</f>
        <v>0</v>
      </c>
      <c r="G67" s="2">
        <f>SUM(B61:D61)</f>
        <v>1.1602434077079109</v>
      </c>
      <c r="H67" s="2">
        <f>SUM(B62:D62)</f>
        <v>2.9569377990430619</v>
      </c>
      <c r="I67" s="3">
        <f>SUM(B63:D63)</f>
        <v>5.0307328605200947</v>
      </c>
    </row>
    <row r="68" spans="1:10" x14ac:dyDescent="0.25">
      <c r="A68" s="19" t="s">
        <v>4</v>
      </c>
      <c r="B68" s="4">
        <f>SUM(C60:C63)</f>
        <v>3.9655377302436126</v>
      </c>
      <c r="C68" s="6">
        <f>SUM(G60:G63)</f>
        <v>18.034462269756389</v>
      </c>
      <c r="E68" s="24" t="s">
        <v>2</v>
      </c>
      <c r="F68" s="4">
        <f>SUM(F60:H60)</f>
        <v>3</v>
      </c>
      <c r="G68" s="5">
        <f>SUM(F61:H61)</f>
        <v>10.839756592292089</v>
      </c>
      <c r="H68" s="5">
        <f>SUM(F62:H62)</f>
        <v>18.043062200956939</v>
      </c>
      <c r="I68" s="6">
        <f>SUM(F63:H63)</f>
        <v>24.969267139479904</v>
      </c>
    </row>
    <row r="69" spans="1:10" x14ac:dyDescent="0.25">
      <c r="A69" s="20" t="s">
        <v>5</v>
      </c>
      <c r="B69" s="4">
        <f>SUM(D60:D63)</f>
        <v>5.1823763370274545</v>
      </c>
      <c r="C69" s="6">
        <f>SUM(H60:H63)</f>
        <v>20.817623662972544</v>
      </c>
      <c r="F69" s="14">
        <f>SUM(F67:F68)</f>
        <v>3</v>
      </c>
      <c r="G69" s="15">
        <f t="shared" ref="G69:I69" si="23">SUM(G67:G68)</f>
        <v>12</v>
      </c>
      <c r="H69" s="15">
        <f t="shared" si="23"/>
        <v>21</v>
      </c>
      <c r="I69" s="15">
        <f t="shared" si="23"/>
        <v>30</v>
      </c>
      <c r="J69" s="16" t="s">
        <v>30</v>
      </c>
    </row>
    <row r="70" spans="1:10" x14ac:dyDescent="0.25">
      <c r="B70" s="14">
        <f>SUM(B67:B69)</f>
        <v>9.147914067271067</v>
      </c>
      <c r="C70" s="15">
        <f>SUM(C67:C69)</f>
        <v>56.852085932728933</v>
      </c>
      <c r="D70" s="16" t="s">
        <v>34</v>
      </c>
    </row>
    <row r="72" spans="1:10" x14ac:dyDescent="0.25">
      <c r="A72" s="14" t="s">
        <v>36</v>
      </c>
      <c r="B72" s="15"/>
      <c r="C72" s="16"/>
      <c r="E72" s="14" t="s">
        <v>37</v>
      </c>
      <c r="F72" s="15"/>
      <c r="G72" s="15"/>
      <c r="H72" s="15"/>
      <c r="I72" s="16"/>
    </row>
    <row r="73" spans="1:10" x14ac:dyDescent="0.25">
      <c r="A73" s="13"/>
      <c r="B73" s="44" t="s">
        <v>0</v>
      </c>
      <c r="C73" s="45" t="s">
        <v>2</v>
      </c>
      <c r="E73" s="13"/>
      <c r="F73" s="44" t="s">
        <v>9</v>
      </c>
      <c r="G73" s="44" t="s">
        <v>10</v>
      </c>
      <c r="H73" s="44" t="s">
        <v>11</v>
      </c>
      <c r="I73" s="45" t="s">
        <v>12</v>
      </c>
    </row>
    <row r="74" spans="1:10" x14ac:dyDescent="0.25">
      <c r="A74" s="19" t="s">
        <v>3</v>
      </c>
      <c r="B74" s="1">
        <f>B67/B$70</f>
        <v>0</v>
      </c>
      <c r="C74" s="3">
        <f>C67/C$70</f>
        <v>0.31661107424094809</v>
      </c>
      <c r="E74" s="19" t="s">
        <v>0</v>
      </c>
      <c r="F74" s="1">
        <f>F67/F$69</f>
        <v>0</v>
      </c>
      <c r="G74" s="2">
        <f t="shared" ref="G74:I74" si="24">G67/G$69</f>
        <v>9.6686950642325908E-2</v>
      </c>
      <c r="H74" s="2">
        <f t="shared" si="24"/>
        <v>0.14080656185919344</v>
      </c>
      <c r="I74" s="3">
        <f t="shared" si="24"/>
        <v>0.16769109535066981</v>
      </c>
    </row>
    <row r="75" spans="1:10" x14ac:dyDescent="0.25">
      <c r="A75" s="19" t="s">
        <v>4</v>
      </c>
      <c r="B75" s="4">
        <f t="shared" ref="B75:C76" si="25">B68/B$70</f>
        <v>0.43349092493460428</v>
      </c>
      <c r="C75" s="6">
        <f t="shared" si="25"/>
        <v>0.31721724847696764</v>
      </c>
      <c r="E75" s="20" t="s">
        <v>2</v>
      </c>
      <c r="F75" s="7">
        <f>F68/F$69</f>
        <v>1</v>
      </c>
      <c r="G75" s="8">
        <f t="shared" ref="G75:I75" si="26">G68/G$69</f>
        <v>0.90331304935767409</v>
      </c>
      <c r="H75" s="8">
        <f t="shared" si="26"/>
        <v>0.85919343814080662</v>
      </c>
      <c r="I75" s="9">
        <f t="shared" si="26"/>
        <v>0.83230890464933016</v>
      </c>
    </row>
    <row r="76" spans="1:10" x14ac:dyDescent="0.25">
      <c r="A76" s="20" t="s">
        <v>5</v>
      </c>
      <c r="B76" s="7">
        <f t="shared" si="25"/>
        <v>0.56650907506539572</v>
      </c>
      <c r="C76" s="9">
        <f t="shared" si="25"/>
        <v>0.36617167728208433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Нагаев</dc:creator>
  <cp:lastModifiedBy>Константин Нагаев</cp:lastModifiedBy>
  <dcterms:created xsi:type="dcterms:W3CDTF">2026-01-12T15:12:42Z</dcterms:created>
  <dcterms:modified xsi:type="dcterms:W3CDTF">2026-01-13T15:30:51Z</dcterms:modified>
</cp:coreProperties>
</file>