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M\project_artm\"/>
    </mc:Choice>
  </mc:AlternateContent>
  <xr:revisionPtr revIDLastSave="0" documentId="13_ncr:1_{BCAADB30-5F19-4695-9DF0-B840F1EF988A}" xr6:coauthVersionLast="47" xr6:coauthVersionMax="47" xr10:uidLastSave="{00000000-0000-0000-0000-000000000000}"/>
  <bookViews>
    <workbookView xWindow="-120" yWindow="-120" windowWidth="20730" windowHeight="11160" xr2:uid="{23294E90-D4C9-4A4B-8BC5-84E4DEE6A8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  <c r="G12" i="1"/>
  <c r="F19" i="1" s="1"/>
  <c r="H12" i="1"/>
  <c r="F20" i="1" s="1"/>
  <c r="I12" i="1"/>
  <c r="F21" i="1" s="1"/>
  <c r="G13" i="1"/>
  <c r="G19" i="1" s="1"/>
  <c r="H13" i="1"/>
  <c r="G20" i="1" s="1"/>
  <c r="I13" i="1"/>
  <c r="G21" i="1" s="1"/>
  <c r="G14" i="1"/>
  <c r="H19" i="1" s="1"/>
  <c r="H14" i="1"/>
  <c r="H20" i="1" s="1"/>
  <c r="I14" i="1"/>
  <c r="H21" i="1" s="1"/>
  <c r="B12" i="1"/>
  <c r="B19" i="1" s="1"/>
  <c r="C12" i="1"/>
  <c r="B20" i="1" s="1"/>
  <c r="D12" i="1"/>
  <c r="B21" i="1" s="1"/>
  <c r="E12" i="1"/>
  <c r="B22" i="1" s="1"/>
  <c r="B13" i="1"/>
  <c r="C19" i="1" s="1"/>
  <c r="C13" i="1"/>
  <c r="C20" i="1" s="1"/>
  <c r="D13" i="1"/>
  <c r="C21" i="1" s="1"/>
  <c r="E13" i="1"/>
  <c r="C22" i="1" s="1"/>
  <c r="B14" i="1"/>
  <c r="D19" i="1" s="1"/>
  <c r="C14" i="1"/>
  <c r="D20" i="1" s="1"/>
  <c r="D14" i="1"/>
  <c r="D21" i="1" s="1"/>
  <c r="E14" i="1"/>
  <c r="D22" i="1" s="1"/>
  <c r="J12" i="1"/>
  <c r="F22" i="1" s="1"/>
  <c r="J13" i="1"/>
  <c r="G22" i="1" s="1"/>
  <c r="J14" i="1"/>
  <c r="H22" i="1" s="1"/>
  <c r="E42" i="1"/>
  <c r="E43" i="1"/>
  <c r="E44" i="1"/>
  <c r="E41" i="1"/>
  <c r="D29" i="1" l="1"/>
  <c r="H37" i="1" s="1"/>
  <c r="H52" i="1" s="1"/>
  <c r="D27" i="1"/>
  <c r="H35" i="1" s="1"/>
  <c r="H50" i="1" s="1"/>
  <c r="B28" i="1"/>
  <c r="F36" i="1" s="1"/>
  <c r="F51" i="1" s="1"/>
  <c r="B29" i="1"/>
  <c r="F37" i="1" s="1"/>
  <c r="F52" i="1" s="1"/>
  <c r="B26" i="1"/>
  <c r="D28" i="1"/>
  <c r="H36" i="1" s="1"/>
  <c r="H51" i="1" s="1"/>
  <c r="C28" i="1"/>
  <c r="G36" i="1" s="1"/>
  <c r="G51" i="1" s="1"/>
  <c r="C29" i="1"/>
  <c r="C27" i="1"/>
  <c r="B27" i="1"/>
  <c r="B35" i="1" s="1"/>
  <c r="C26" i="1"/>
  <c r="G34" i="1" s="1"/>
  <c r="G49" i="1" s="1"/>
  <c r="D26" i="1"/>
  <c r="D34" i="1" s="1"/>
  <c r="D37" i="1" l="1"/>
  <c r="D52" i="1"/>
  <c r="M37" i="1"/>
  <c r="D49" i="1"/>
  <c r="B37" i="1"/>
  <c r="B50" i="1"/>
  <c r="D36" i="1"/>
  <c r="C34" i="1"/>
  <c r="I57" i="1"/>
  <c r="D35" i="1"/>
  <c r="B36" i="1"/>
  <c r="F34" i="1"/>
  <c r="F49" i="1" s="1"/>
  <c r="B34" i="1"/>
  <c r="H34" i="1"/>
  <c r="H49" i="1" s="1"/>
  <c r="C58" i="1" s="1"/>
  <c r="G35" i="1"/>
  <c r="G50" i="1" s="1"/>
  <c r="C35" i="1"/>
  <c r="F35" i="1"/>
  <c r="F50" i="1" s="1"/>
  <c r="C36" i="1"/>
  <c r="G37" i="1"/>
  <c r="G52" i="1" s="1"/>
  <c r="J57" i="1" s="1"/>
  <c r="C37" i="1"/>
  <c r="D51" i="1" l="1"/>
  <c r="M36" i="1"/>
  <c r="K35" i="1"/>
  <c r="C52" i="1"/>
  <c r="L37" i="1"/>
  <c r="C50" i="1"/>
  <c r="L35" i="1"/>
  <c r="C49" i="1"/>
  <c r="L34" i="1"/>
  <c r="C51" i="1"/>
  <c r="L36" i="1"/>
  <c r="D50" i="1"/>
  <c r="M35" i="1"/>
  <c r="M34" i="1"/>
  <c r="B49" i="1"/>
  <c r="K34" i="1"/>
  <c r="C57" i="1"/>
  <c r="B51" i="1"/>
  <c r="I56" i="1" s="1"/>
  <c r="I58" i="1" s="1"/>
  <c r="H64" i="1" s="1"/>
  <c r="K36" i="1"/>
  <c r="B52" i="1"/>
  <c r="K37" i="1"/>
  <c r="H57" i="1"/>
  <c r="C56" i="1"/>
  <c r="G57" i="1"/>
  <c r="H56" i="1" l="1"/>
  <c r="I52" i="1"/>
  <c r="B57" i="1"/>
  <c r="B58" i="1"/>
  <c r="G56" i="1"/>
  <c r="B56" i="1"/>
  <c r="J56" i="1"/>
  <c r="J58" i="1" s="1"/>
  <c r="I64" i="1" s="1"/>
  <c r="I63" i="1"/>
  <c r="H63" i="1"/>
  <c r="H65" i="1" s="1"/>
  <c r="H58" i="1"/>
  <c r="G63" i="1" s="1"/>
  <c r="C59" i="1"/>
  <c r="C63" i="1" s="1"/>
  <c r="G58" i="1"/>
  <c r="B59" i="1" l="1"/>
  <c r="B65" i="1" s="1"/>
  <c r="D58" i="1"/>
  <c r="I65" i="1"/>
  <c r="F64" i="1"/>
  <c r="K57" i="1"/>
  <c r="G64" i="1"/>
  <c r="G65" i="1" s="1"/>
  <c r="F63" i="1"/>
  <c r="B64" i="1"/>
  <c r="B63" i="1"/>
  <c r="C64" i="1"/>
  <c r="C65" i="1"/>
  <c r="C66" i="1" l="1"/>
  <c r="B66" i="1"/>
  <c r="F65" i="1"/>
</calcChain>
</file>

<file path=xl/sharedStrings.xml><?xml version="1.0" encoding="utf-8"?>
<sst xmlns="http://schemas.openxmlformats.org/spreadsheetml/2006/main" count="140" uniqueCount="28">
  <si>
    <t>t1</t>
  </si>
  <si>
    <t>t2</t>
  </si>
  <si>
    <t>w1</t>
  </si>
  <si>
    <t>w2</t>
  </si>
  <si>
    <t>w3</t>
  </si>
  <si>
    <t>d1</t>
  </si>
  <si>
    <t>d2</t>
  </si>
  <si>
    <t>d3</t>
  </si>
  <si>
    <t>d4</t>
  </si>
  <si>
    <t>n</t>
  </si>
  <si>
    <t>sum_s(phi_ws * teta_sd) (T, D, W)</t>
  </si>
  <si>
    <t>phi_wt * teta_td (T, W, D) -&gt; (T, D, W)</t>
  </si>
  <si>
    <t>phi_wt (W,T)</t>
  </si>
  <si>
    <t>teta_td (T,D)</t>
  </si>
  <si>
    <t>n_dw (D, W)</t>
  </si>
  <si>
    <t>n_d (D, )</t>
  </si>
  <si>
    <t>p_tdw = norm(phi_wt * teta_td) (T, D, W)</t>
  </si>
  <si>
    <t>n_tdw = n_dw * norm(phi_wt * teta_td) (T, D, W)</t>
  </si>
  <si>
    <t>n_wt (W,T)</t>
  </si>
  <si>
    <t>n_t (T, )</t>
  </si>
  <si>
    <t>n_td (T,D)</t>
  </si>
  <si>
    <t>new_phi_wt (W,T)</t>
  </si>
  <si>
    <t>new_teta_td (T,D)</t>
  </si>
  <si>
    <t>phi_wt * teta_td  (T, W, D)</t>
  </si>
  <si>
    <t>Check n</t>
  </si>
  <si>
    <t>Check phi</t>
  </si>
  <si>
    <t>Check teta</t>
  </si>
  <si>
    <t>Check p_tdw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</si>
</sst>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8A25-739C-4E9E-9886-F848EFEF273B}">
  <dimension ref="A3:S66"/>
  <sheetViews>
    <sheetView tabSelected="1" topLeftCell="A52" workbookViewId="0">
      <selection activeCell="I45" sqref="I45"/>
    </sheetView>
  </sheetViews>
  <sheetFormatPr defaultRowHeight="15" x14ac:dyDescent="0.25"/>
  <cols>
    <col min="2" max="2" width="9.7109375" customWidth="1"/>
  </cols>
  <sheetData>
    <row r="3" spans="1:19" x14ac:dyDescent="0.25">
      <c r="A3" s="13" t="s">
        <v>12</v>
      </c>
      <c r="B3" s="14"/>
      <c r="C3" s="15"/>
      <c r="E3" s="13" t="s">
        <v>13</v>
      </c>
      <c r="F3" s="14"/>
      <c r="G3" s="14"/>
      <c r="H3" s="14"/>
      <c r="I3" s="15"/>
    </row>
    <row r="4" spans="1:19" x14ac:dyDescent="0.25">
      <c r="A4" s="12"/>
      <c r="B4" s="16" t="s">
        <v>0</v>
      </c>
      <c r="C4" s="17" t="s">
        <v>1</v>
      </c>
      <c r="E4" s="12"/>
      <c r="F4" s="20" t="s">
        <v>5</v>
      </c>
      <c r="G4" s="20" t="s">
        <v>6</v>
      </c>
      <c r="H4" s="20" t="s">
        <v>7</v>
      </c>
      <c r="I4" s="21" t="s">
        <v>8</v>
      </c>
    </row>
    <row r="5" spans="1:19" x14ac:dyDescent="0.25">
      <c r="A5" s="18" t="s">
        <v>2</v>
      </c>
      <c r="B5" s="1">
        <v>0</v>
      </c>
      <c r="C5" s="3">
        <v>1</v>
      </c>
      <c r="E5" s="22" t="s">
        <v>0</v>
      </c>
      <c r="F5">
        <v>0</v>
      </c>
      <c r="G5">
        <v>1</v>
      </c>
      <c r="H5">
        <v>2</v>
      </c>
      <c r="I5" s="5">
        <v>3</v>
      </c>
    </row>
    <row r="6" spans="1:19" x14ac:dyDescent="0.25">
      <c r="A6" s="18" t="s">
        <v>3</v>
      </c>
      <c r="B6" s="4">
        <v>2</v>
      </c>
      <c r="C6" s="5">
        <v>3</v>
      </c>
      <c r="E6" s="23" t="s">
        <v>1</v>
      </c>
      <c r="F6" s="7">
        <v>4</v>
      </c>
      <c r="G6" s="7">
        <v>5</v>
      </c>
      <c r="H6" s="7">
        <v>6</v>
      </c>
      <c r="I6" s="8">
        <v>7</v>
      </c>
    </row>
    <row r="7" spans="1:19" x14ac:dyDescent="0.25">
      <c r="A7" s="19" t="s">
        <v>4</v>
      </c>
      <c r="B7" s="6">
        <v>4</v>
      </c>
      <c r="C7" s="8">
        <v>5</v>
      </c>
    </row>
    <row r="9" spans="1:19" x14ac:dyDescent="0.25">
      <c r="A9" s="13" t="s">
        <v>23</v>
      </c>
      <c r="B9" s="14"/>
      <c r="C9" s="14"/>
      <c r="D9" s="14"/>
      <c r="E9" s="14"/>
      <c r="F9" s="14"/>
      <c r="G9" s="14"/>
      <c r="H9" s="14"/>
      <c r="I9" s="14"/>
      <c r="J9" s="15"/>
    </row>
    <row r="10" spans="1:19" x14ac:dyDescent="0.25">
      <c r="A10" s="24" t="s">
        <v>0</v>
      </c>
      <c r="B10" s="25"/>
      <c r="C10" s="25"/>
      <c r="D10" s="25"/>
      <c r="E10" s="26"/>
      <c r="F10" s="24" t="s">
        <v>1</v>
      </c>
      <c r="G10" s="25"/>
      <c r="H10" s="25"/>
      <c r="I10" s="25"/>
      <c r="J10" s="26"/>
    </row>
    <row r="11" spans="1:19" x14ac:dyDescent="0.25">
      <c r="A11" s="27"/>
      <c r="B11" s="28" t="s">
        <v>5</v>
      </c>
      <c r="C11" s="28" t="s">
        <v>6</v>
      </c>
      <c r="D11" s="28" t="s">
        <v>7</v>
      </c>
      <c r="E11" s="29" t="s">
        <v>8</v>
      </c>
      <c r="F11" s="30"/>
      <c r="G11" s="28" t="s">
        <v>5</v>
      </c>
      <c r="H11" s="28" t="s">
        <v>6</v>
      </c>
      <c r="I11" s="28" t="s">
        <v>7</v>
      </c>
      <c r="J11" s="29" t="s">
        <v>8</v>
      </c>
    </row>
    <row r="12" spans="1:19" x14ac:dyDescent="0.25">
      <c r="A12" s="31" t="s">
        <v>2</v>
      </c>
      <c r="B12" s="2">
        <f t="shared" ref="B12:E14" si="0">$B5*F$5</f>
        <v>0</v>
      </c>
      <c r="C12" s="2">
        <f t="shared" si="0"/>
        <v>0</v>
      </c>
      <c r="D12" s="2">
        <f t="shared" si="0"/>
        <v>0</v>
      </c>
      <c r="E12" s="2">
        <f t="shared" si="0"/>
        <v>0</v>
      </c>
      <c r="F12" s="31" t="s">
        <v>2</v>
      </c>
      <c r="G12" s="2">
        <f t="shared" ref="G12:J14" si="1">$C5*F$6</f>
        <v>4</v>
      </c>
      <c r="H12" s="2">
        <f t="shared" si="1"/>
        <v>5</v>
      </c>
      <c r="I12" s="2">
        <f t="shared" si="1"/>
        <v>6</v>
      </c>
      <c r="J12" s="3">
        <f t="shared" si="1"/>
        <v>7</v>
      </c>
    </row>
    <row r="13" spans="1:19" x14ac:dyDescent="0.25">
      <c r="A13" s="32" t="s">
        <v>3</v>
      </c>
      <c r="B13">
        <f t="shared" si="0"/>
        <v>0</v>
      </c>
      <c r="C13">
        <f t="shared" si="0"/>
        <v>2</v>
      </c>
      <c r="D13">
        <f t="shared" si="0"/>
        <v>4</v>
      </c>
      <c r="E13">
        <f t="shared" si="0"/>
        <v>6</v>
      </c>
      <c r="F13" s="32" t="s">
        <v>3</v>
      </c>
      <c r="G13">
        <f t="shared" si="1"/>
        <v>12</v>
      </c>
      <c r="H13">
        <f t="shared" si="1"/>
        <v>15</v>
      </c>
      <c r="I13">
        <f t="shared" si="1"/>
        <v>18</v>
      </c>
      <c r="J13" s="5">
        <f t="shared" si="1"/>
        <v>21</v>
      </c>
    </row>
    <row r="14" spans="1:19" x14ac:dyDescent="0.25">
      <c r="A14" s="33" t="s">
        <v>4</v>
      </c>
      <c r="B14" s="7">
        <f t="shared" si="0"/>
        <v>0</v>
      </c>
      <c r="C14" s="7">
        <f t="shared" si="0"/>
        <v>4</v>
      </c>
      <c r="D14" s="7">
        <f t="shared" si="0"/>
        <v>8</v>
      </c>
      <c r="E14" s="7">
        <f t="shared" si="0"/>
        <v>12</v>
      </c>
      <c r="F14" s="33" t="s">
        <v>4</v>
      </c>
      <c r="G14" s="7">
        <f t="shared" si="1"/>
        <v>20</v>
      </c>
      <c r="H14" s="7">
        <f t="shared" si="1"/>
        <v>25</v>
      </c>
      <c r="I14" s="7">
        <f t="shared" si="1"/>
        <v>30</v>
      </c>
      <c r="J14" s="8">
        <f t="shared" si="1"/>
        <v>35</v>
      </c>
    </row>
    <row r="15" spans="1:19" x14ac:dyDescent="0.25">
      <c r="A15" s="39"/>
      <c r="F15" s="39"/>
    </row>
    <row r="16" spans="1:19" x14ac:dyDescent="0.25">
      <c r="A16" s="13" t="s">
        <v>11</v>
      </c>
      <c r="B16" s="14"/>
      <c r="C16" s="14"/>
      <c r="D16" s="14"/>
      <c r="E16" s="14"/>
      <c r="F16" s="14"/>
      <c r="G16" s="14"/>
      <c r="H16" s="15"/>
      <c r="L16" s="47"/>
      <c r="M16" s="46"/>
      <c r="N16" s="46"/>
      <c r="O16" s="46"/>
      <c r="P16" s="47"/>
      <c r="Q16" s="46"/>
      <c r="R16" s="46"/>
      <c r="S16" s="46"/>
    </row>
    <row r="17" spans="1:19" x14ac:dyDescent="0.25">
      <c r="A17" s="24" t="s">
        <v>0</v>
      </c>
      <c r="B17" s="14"/>
      <c r="C17" s="14"/>
      <c r="D17" s="14"/>
      <c r="E17" s="24" t="s">
        <v>1</v>
      </c>
      <c r="F17" s="14"/>
      <c r="G17" s="14"/>
      <c r="H17" s="15"/>
      <c r="L17" s="47"/>
      <c r="M17" s="46"/>
      <c r="N17" s="46"/>
      <c r="O17" s="46"/>
      <c r="P17" s="47"/>
      <c r="Q17" s="46"/>
      <c r="R17" s="46"/>
      <c r="S17" s="46"/>
    </row>
    <row r="18" spans="1:19" x14ac:dyDescent="0.25">
      <c r="A18" s="30"/>
      <c r="B18" s="28" t="s">
        <v>2</v>
      </c>
      <c r="C18" s="28" t="s">
        <v>3</v>
      </c>
      <c r="D18" s="28" t="s">
        <v>4</v>
      </c>
      <c r="E18" s="30"/>
      <c r="F18" s="28" t="s">
        <v>2</v>
      </c>
      <c r="G18" s="28" t="s">
        <v>3</v>
      </c>
      <c r="H18" s="29" t="s">
        <v>4</v>
      </c>
      <c r="L18" s="47"/>
      <c r="M18" s="46"/>
      <c r="N18" s="46"/>
      <c r="O18" s="46"/>
      <c r="P18" s="47"/>
      <c r="Q18" s="46"/>
      <c r="R18" s="46"/>
      <c r="S18" s="46"/>
    </row>
    <row r="19" spans="1:19" x14ac:dyDescent="0.25">
      <c r="A19" s="32" t="s">
        <v>5</v>
      </c>
      <c r="B19" s="1">
        <f>B12</f>
        <v>0</v>
      </c>
      <c r="C19" s="2">
        <f>B13</f>
        <v>0</v>
      </c>
      <c r="D19" s="2">
        <f>B14</f>
        <v>0</v>
      </c>
      <c r="E19" s="31" t="s">
        <v>5</v>
      </c>
      <c r="F19" s="2">
        <f>G12</f>
        <v>4</v>
      </c>
      <c r="G19" s="2">
        <f>G13</f>
        <v>12</v>
      </c>
      <c r="H19" s="3">
        <f>G14</f>
        <v>20</v>
      </c>
      <c r="L19" s="47"/>
      <c r="M19" s="46"/>
      <c r="N19" s="46"/>
      <c r="O19" s="46"/>
      <c r="P19" s="47"/>
      <c r="Q19" s="46"/>
      <c r="R19" s="46"/>
      <c r="S19" s="46"/>
    </row>
    <row r="20" spans="1:19" x14ac:dyDescent="0.25">
      <c r="A20" s="32" t="s">
        <v>6</v>
      </c>
      <c r="B20" s="4">
        <f>C12</f>
        <v>0</v>
      </c>
      <c r="C20">
        <f>C13</f>
        <v>2</v>
      </c>
      <c r="D20">
        <f>C14</f>
        <v>4</v>
      </c>
      <c r="E20" s="32" t="s">
        <v>6</v>
      </c>
      <c r="F20">
        <f>H12</f>
        <v>5</v>
      </c>
      <c r="G20">
        <f>H13</f>
        <v>15</v>
      </c>
      <c r="H20" s="5">
        <f>H14</f>
        <v>25</v>
      </c>
      <c r="L20" s="47"/>
      <c r="M20" s="46"/>
      <c r="N20" s="46"/>
      <c r="O20" s="46"/>
      <c r="P20" s="47"/>
      <c r="Q20" s="46"/>
      <c r="R20" s="46"/>
      <c r="S20" s="46"/>
    </row>
    <row r="21" spans="1:19" x14ac:dyDescent="0.25">
      <c r="A21" s="32" t="s">
        <v>7</v>
      </c>
      <c r="B21" s="4">
        <f>D12</f>
        <v>0</v>
      </c>
      <c r="C21">
        <f>D13</f>
        <v>4</v>
      </c>
      <c r="D21">
        <f>D14</f>
        <v>8</v>
      </c>
      <c r="E21" s="32" t="s">
        <v>7</v>
      </c>
      <c r="F21">
        <f>I12</f>
        <v>6</v>
      </c>
      <c r="G21">
        <f>I13</f>
        <v>18</v>
      </c>
      <c r="H21" s="5">
        <f>I14</f>
        <v>30</v>
      </c>
      <c r="L21" s="47"/>
      <c r="M21" s="46"/>
      <c r="N21" s="46"/>
      <c r="O21" s="46"/>
      <c r="P21" s="47"/>
      <c r="Q21" s="46"/>
      <c r="R21" s="46"/>
      <c r="S21" s="46"/>
    </row>
    <row r="22" spans="1:19" x14ac:dyDescent="0.25">
      <c r="A22" s="33" t="s">
        <v>8</v>
      </c>
      <c r="B22" s="6">
        <f>E12</f>
        <v>0</v>
      </c>
      <c r="C22" s="7">
        <f>E13</f>
        <v>6</v>
      </c>
      <c r="D22" s="7">
        <f>E14</f>
        <v>12</v>
      </c>
      <c r="E22" s="33" t="s">
        <v>8</v>
      </c>
      <c r="F22" s="7">
        <f>J12</f>
        <v>7</v>
      </c>
      <c r="G22" s="7">
        <f>J13</f>
        <v>21</v>
      </c>
      <c r="H22" s="8">
        <f>J14</f>
        <v>35</v>
      </c>
      <c r="L22" s="47"/>
      <c r="M22" s="46"/>
      <c r="N22" s="46"/>
      <c r="O22" s="46"/>
      <c r="P22" s="47"/>
      <c r="Q22" s="46"/>
      <c r="R22" s="46"/>
      <c r="S22" s="46"/>
    </row>
    <row r="24" spans="1:19" x14ac:dyDescent="0.25">
      <c r="A24" s="13" t="s">
        <v>10</v>
      </c>
      <c r="B24" s="14"/>
      <c r="C24" s="14"/>
      <c r="D24" s="15"/>
    </row>
    <row r="25" spans="1:19" x14ac:dyDescent="0.25">
      <c r="A25" s="30"/>
      <c r="B25" s="34" t="s">
        <v>2</v>
      </c>
      <c r="C25" s="34" t="s">
        <v>3</v>
      </c>
      <c r="D25" s="35" t="s">
        <v>4</v>
      </c>
    </row>
    <row r="26" spans="1:19" x14ac:dyDescent="0.25">
      <c r="A26" s="37" t="s">
        <v>5</v>
      </c>
      <c r="B26" s="1">
        <f>B19+F19</f>
        <v>4</v>
      </c>
      <c r="C26" s="2">
        <f>C19+G19</f>
        <v>12</v>
      </c>
      <c r="D26" s="3">
        <f>D19+H19</f>
        <v>20</v>
      </c>
    </row>
    <row r="27" spans="1:19" x14ac:dyDescent="0.25">
      <c r="A27" s="37" t="s">
        <v>6</v>
      </c>
      <c r="B27" s="4">
        <f>B20+F20</f>
        <v>5</v>
      </c>
      <c r="C27">
        <f>C20+G20</f>
        <v>17</v>
      </c>
      <c r="D27" s="5">
        <f>D20+H20</f>
        <v>29</v>
      </c>
    </row>
    <row r="28" spans="1:19" x14ac:dyDescent="0.25">
      <c r="A28" s="37" t="s">
        <v>7</v>
      </c>
      <c r="B28" s="4">
        <f>B21+F21</f>
        <v>6</v>
      </c>
      <c r="C28">
        <f>C21+G21</f>
        <v>22</v>
      </c>
      <c r="D28" s="5">
        <f>D21+H21</f>
        <v>38</v>
      </c>
    </row>
    <row r="29" spans="1:19" x14ac:dyDescent="0.25">
      <c r="A29" s="38" t="s">
        <v>8</v>
      </c>
      <c r="B29" s="6">
        <f>B22+F22</f>
        <v>7</v>
      </c>
      <c r="C29" s="7">
        <f>C22+G22</f>
        <v>27</v>
      </c>
      <c r="D29" s="8">
        <f>D22+H22</f>
        <v>47</v>
      </c>
    </row>
    <row r="31" spans="1:19" x14ac:dyDescent="0.25">
      <c r="A31" s="13" t="s">
        <v>16</v>
      </c>
      <c r="B31" s="14"/>
      <c r="C31" s="14"/>
      <c r="D31" s="14"/>
      <c r="E31" s="14"/>
      <c r="F31" s="14"/>
      <c r="G31" s="14"/>
      <c r="H31" s="15"/>
    </row>
    <row r="32" spans="1:19" x14ac:dyDescent="0.25">
      <c r="A32" s="24" t="s">
        <v>0</v>
      </c>
      <c r="B32" s="14"/>
      <c r="C32" s="14"/>
      <c r="D32" s="14"/>
      <c r="E32" s="24" t="s">
        <v>1</v>
      </c>
      <c r="F32" s="14"/>
      <c r="G32" s="14"/>
      <c r="H32" s="15"/>
      <c r="J32" t="s">
        <v>27</v>
      </c>
    </row>
    <row r="33" spans="1:13" x14ac:dyDescent="0.25">
      <c r="A33" s="30"/>
      <c r="B33" s="34" t="s">
        <v>2</v>
      </c>
      <c r="C33" s="34" t="s">
        <v>3</v>
      </c>
      <c r="D33" s="34" t="s">
        <v>4</v>
      </c>
      <c r="E33" s="30"/>
      <c r="F33" s="34" t="s">
        <v>2</v>
      </c>
      <c r="G33" s="34" t="s">
        <v>3</v>
      </c>
      <c r="H33" s="35" t="s">
        <v>4</v>
      </c>
      <c r="J33" s="30"/>
      <c r="K33" s="34" t="s">
        <v>2</v>
      </c>
      <c r="L33" s="34" t="s">
        <v>3</v>
      </c>
      <c r="M33" s="35" t="s">
        <v>4</v>
      </c>
    </row>
    <row r="34" spans="1:13" x14ac:dyDescent="0.25">
      <c r="A34" s="37" t="s">
        <v>5</v>
      </c>
      <c r="B34" s="1">
        <f>B19/B26</f>
        <v>0</v>
      </c>
      <c r="C34" s="2">
        <f>C19/C26</f>
        <v>0</v>
      </c>
      <c r="D34" s="3">
        <f>D19/D26</f>
        <v>0</v>
      </c>
      <c r="E34" s="34" t="s">
        <v>5</v>
      </c>
      <c r="F34" s="1">
        <f>F19/B26</f>
        <v>1</v>
      </c>
      <c r="G34" s="2">
        <f>G19/C26</f>
        <v>1</v>
      </c>
      <c r="H34" s="3">
        <f>H19/D26</f>
        <v>1</v>
      </c>
      <c r="J34" s="37" t="s">
        <v>5</v>
      </c>
      <c r="K34" s="1" t="b">
        <f>B34+F34=1</f>
        <v>1</v>
      </c>
      <c r="L34" s="2" t="b">
        <f t="shared" ref="L34:M37" si="2">C34+G34=1</f>
        <v>1</v>
      </c>
      <c r="M34" s="3" t="b">
        <f t="shared" si="2"/>
        <v>1</v>
      </c>
    </row>
    <row r="35" spans="1:13" x14ac:dyDescent="0.25">
      <c r="A35" s="37" t="s">
        <v>6</v>
      </c>
      <c r="B35" s="4">
        <f>B20/B27</f>
        <v>0</v>
      </c>
      <c r="C35">
        <f>C20/C27</f>
        <v>0.11764705882352941</v>
      </c>
      <c r="D35" s="5">
        <f>D20/D27</f>
        <v>0.13793103448275862</v>
      </c>
      <c r="E35" s="39" t="s">
        <v>6</v>
      </c>
      <c r="F35" s="4">
        <f>F20/B27</f>
        <v>1</v>
      </c>
      <c r="G35">
        <f>G20/C27</f>
        <v>0.88235294117647056</v>
      </c>
      <c r="H35" s="5">
        <f>H20/D27</f>
        <v>0.86206896551724133</v>
      </c>
      <c r="J35" s="37" t="s">
        <v>6</v>
      </c>
      <c r="K35" s="4" t="b">
        <f t="shared" ref="K35:K37" si="3">B35+F35=1</f>
        <v>1</v>
      </c>
      <c r="L35" s="46" t="b">
        <f t="shared" si="2"/>
        <v>1</v>
      </c>
      <c r="M35" s="5" t="b">
        <f t="shared" si="2"/>
        <v>1</v>
      </c>
    </row>
    <row r="36" spans="1:13" x14ac:dyDescent="0.25">
      <c r="A36" s="37" t="s">
        <v>7</v>
      </c>
      <c r="B36" s="4">
        <f>B21/B28</f>
        <v>0</v>
      </c>
      <c r="C36">
        <f>C21/C28</f>
        <v>0.18181818181818182</v>
      </c>
      <c r="D36" s="5">
        <f>D21/D28</f>
        <v>0.21052631578947367</v>
      </c>
      <c r="E36" s="39" t="s">
        <v>7</v>
      </c>
      <c r="F36" s="4">
        <f>F21/B28</f>
        <v>1</v>
      </c>
      <c r="G36">
        <f>G21/C28</f>
        <v>0.81818181818181823</v>
      </c>
      <c r="H36" s="5">
        <f>H21/D28</f>
        <v>0.78947368421052633</v>
      </c>
      <c r="J36" s="37" t="s">
        <v>7</v>
      </c>
      <c r="K36" s="4" t="b">
        <f t="shared" si="3"/>
        <v>1</v>
      </c>
      <c r="L36" s="46" t="b">
        <f t="shared" si="2"/>
        <v>1</v>
      </c>
      <c r="M36" s="5" t="b">
        <f t="shared" si="2"/>
        <v>1</v>
      </c>
    </row>
    <row r="37" spans="1:13" x14ac:dyDescent="0.25">
      <c r="A37" s="38" t="s">
        <v>8</v>
      </c>
      <c r="B37" s="6">
        <f>B22/B29</f>
        <v>0</v>
      </c>
      <c r="C37" s="7">
        <f>C22/C29</f>
        <v>0.22222222222222221</v>
      </c>
      <c r="D37" s="8">
        <f>D22/D29</f>
        <v>0.25531914893617019</v>
      </c>
      <c r="E37" s="40" t="s">
        <v>8</v>
      </c>
      <c r="F37" s="6">
        <f>F22/B29</f>
        <v>1</v>
      </c>
      <c r="G37" s="7">
        <f>G22/C29</f>
        <v>0.77777777777777779</v>
      </c>
      <c r="H37" s="8">
        <f>H22/D29</f>
        <v>0.74468085106382975</v>
      </c>
      <c r="J37" s="38" t="s">
        <v>8</v>
      </c>
      <c r="K37" s="6" t="b">
        <f t="shared" si="3"/>
        <v>1</v>
      </c>
      <c r="L37" s="7" t="b">
        <f t="shared" si="2"/>
        <v>1</v>
      </c>
      <c r="M37" s="8" t="b">
        <f t="shared" si="2"/>
        <v>1</v>
      </c>
    </row>
    <row r="39" spans="1:13" x14ac:dyDescent="0.25">
      <c r="A39" s="42" t="s">
        <v>14</v>
      </c>
      <c r="B39" s="2"/>
      <c r="C39" s="2"/>
      <c r="D39" s="3"/>
    </row>
    <row r="40" spans="1:13" x14ac:dyDescent="0.25">
      <c r="A40" s="12"/>
      <c r="B40" s="34" t="s">
        <v>2</v>
      </c>
      <c r="C40" s="34" t="s">
        <v>3</v>
      </c>
      <c r="D40" s="35" t="s">
        <v>4</v>
      </c>
      <c r="E40" s="12" t="s">
        <v>15</v>
      </c>
    </row>
    <row r="41" spans="1:13" x14ac:dyDescent="0.25">
      <c r="A41" s="36" t="s">
        <v>5</v>
      </c>
      <c r="B41" s="1">
        <v>0</v>
      </c>
      <c r="C41" s="2">
        <v>1</v>
      </c>
      <c r="D41" s="3">
        <v>2</v>
      </c>
      <c r="E41" s="10">
        <f>SUM(B41:D41)</f>
        <v>3</v>
      </c>
    </row>
    <row r="42" spans="1:13" x14ac:dyDescent="0.25">
      <c r="A42" s="37" t="s">
        <v>6</v>
      </c>
      <c r="B42" s="4">
        <v>3</v>
      </c>
      <c r="C42">
        <v>4</v>
      </c>
      <c r="D42" s="5">
        <v>5</v>
      </c>
      <c r="E42" s="10">
        <f t="shared" ref="E42:E44" si="4">SUM(B42:D42)</f>
        <v>12</v>
      </c>
    </row>
    <row r="43" spans="1:13" x14ac:dyDescent="0.25">
      <c r="A43" s="37" t="s">
        <v>7</v>
      </c>
      <c r="B43" s="4">
        <v>6</v>
      </c>
      <c r="C43">
        <v>7</v>
      </c>
      <c r="D43" s="5">
        <v>8</v>
      </c>
      <c r="E43" s="10">
        <f t="shared" si="4"/>
        <v>21</v>
      </c>
      <c r="F43" s="12" t="s">
        <v>9</v>
      </c>
    </row>
    <row r="44" spans="1:13" x14ac:dyDescent="0.25">
      <c r="A44" s="38" t="s">
        <v>8</v>
      </c>
      <c r="B44" s="6">
        <v>9</v>
      </c>
      <c r="C44" s="7">
        <v>10</v>
      </c>
      <c r="D44" s="8">
        <v>11</v>
      </c>
      <c r="E44" s="11">
        <f t="shared" si="4"/>
        <v>30</v>
      </c>
      <c r="F44" s="11">
        <f>SUM(B41:D44)</f>
        <v>66</v>
      </c>
    </row>
    <row r="46" spans="1:13" x14ac:dyDescent="0.25">
      <c r="A46" s="41" t="s">
        <v>17</v>
      </c>
    </row>
    <row r="47" spans="1:13" x14ac:dyDescent="0.25">
      <c r="A47" s="24" t="s">
        <v>0</v>
      </c>
      <c r="B47" s="14"/>
      <c r="C47" s="14"/>
      <c r="D47" s="14"/>
      <c r="E47" s="24" t="s">
        <v>1</v>
      </c>
      <c r="F47" s="14"/>
      <c r="G47" s="14"/>
      <c r="H47" s="15"/>
    </row>
    <row r="48" spans="1:13" x14ac:dyDescent="0.25">
      <c r="A48" s="30"/>
      <c r="B48" s="34" t="s">
        <v>2</v>
      </c>
      <c r="C48" s="34" t="s">
        <v>3</v>
      </c>
      <c r="D48" s="34" t="s">
        <v>4</v>
      </c>
      <c r="E48" s="30"/>
      <c r="F48" s="34" t="s">
        <v>2</v>
      </c>
      <c r="G48" s="34" t="s">
        <v>3</v>
      </c>
      <c r="H48" s="35" t="s">
        <v>4</v>
      </c>
    </row>
    <row r="49" spans="1:11" x14ac:dyDescent="0.25">
      <c r="A49" s="37" t="s">
        <v>5</v>
      </c>
      <c r="B49" s="1">
        <f>B41*B34</f>
        <v>0</v>
      </c>
      <c r="C49" s="2">
        <f t="shared" ref="C49:D49" si="5">C41*C34</f>
        <v>0</v>
      </c>
      <c r="D49" s="3">
        <f t="shared" si="5"/>
        <v>0</v>
      </c>
      <c r="E49" s="34" t="s">
        <v>5</v>
      </c>
      <c r="F49" s="1">
        <f>B41*F34</f>
        <v>0</v>
      </c>
      <c r="G49" s="2">
        <f t="shared" ref="G49:H49" si="6">C41*G34</f>
        <v>1</v>
      </c>
      <c r="H49" s="3">
        <f t="shared" si="6"/>
        <v>2</v>
      </c>
    </row>
    <row r="50" spans="1:11" x14ac:dyDescent="0.25">
      <c r="A50" s="37" t="s">
        <v>6</v>
      </c>
      <c r="B50" s="4">
        <f t="shared" ref="B50:D50" si="7">B42*B35</f>
        <v>0</v>
      </c>
      <c r="C50">
        <f t="shared" si="7"/>
        <v>0.47058823529411764</v>
      </c>
      <c r="D50" s="5">
        <f t="shared" si="7"/>
        <v>0.68965517241379315</v>
      </c>
      <c r="E50" s="39" t="s">
        <v>6</v>
      </c>
      <c r="F50" s="4">
        <f t="shared" ref="F50:F52" si="8">B42*F35</f>
        <v>3</v>
      </c>
      <c r="G50">
        <f t="shared" ref="G50:G52" si="9">C42*G35</f>
        <v>3.5294117647058822</v>
      </c>
      <c r="H50" s="5">
        <f t="shared" ref="H50:H52" si="10">D42*H35</f>
        <v>4.3103448275862064</v>
      </c>
    </row>
    <row r="51" spans="1:11" x14ac:dyDescent="0.25">
      <c r="A51" s="37" t="s">
        <v>7</v>
      </c>
      <c r="B51" s="4">
        <f t="shared" ref="B51:D51" si="11">B43*B36</f>
        <v>0</v>
      </c>
      <c r="C51">
        <f t="shared" si="11"/>
        <v>1.2727272727272727</v>
      </c>
      <c r="D51" s="5">
        <f t="shared" si="11"/>
        <v>1.6842105263157894</v>
      </c>
      <c r="E51" s="39" t="s">
        <v>7</v>
      </c>
      <c r="F51" s="4">
        <f t="shared" si="8"/>
        <v>6</v>
      </c>
      <c r="G51">
        <f t="shared" si="9"/>
        <v>5.7272727272727275</v>
      </c>
      <c r="H51" s="5">
        <f t="shared" si="10"/>
        <v>6.3157894736842106</v>
      </c>
      <c r="I51" s="9" t="s">
        <v>24</v>
      </c>
    </row>
    <row r="52" spans="1:11" x14ac:dyDescent="0.25">
      <c r="A52" s="38" t="s">
        <v>8</v>
      </c>
      <c r="B52" s="6">
        <f t="shared" ref="B52:D52" si="12">B44*B37</f>
        <v>0</v>
      </c>
      <c r="C52" s="7">
        <f t="shared" si="12"/>
        <v>2.2222222222222223</v>
      </c>
      <c r="D52" s="8">
        <f t="shared" si="12"/>
        <v>2.808510638297872</v>
      </c>
      <c r="E52" s="40" t="s">
        <v>8</v>
      </c>
      <c r="F52" s="6">
        <f t="shared" si="8"/>
        <v>9</v>
      </c>
      <c r="G52" s="7">
        <f t="shared" si="9"/>
        <v>7.7777777777777777</v>
      </c>
      <c r="H52" s="8">
        <f t="shared" si="10"/>
        <v>8.1914893617021267</v>
      </c>
      <c r="I52" s="11" t="b">
        <f>SUM(B49:D52)+SUM(F49:H52)=F44</f>
        <v>1</v>
      </c>
    </row>
    <row r="54" spans="1:11" x14ac:dyDescent="0.25">
      <c r="A54" s="13" t="s">
        <v>18</v>
      </c>
      <c r="B54" s="14"/>
      <c r="C54" s="15"/>
      <c r="F54" s="13" t="s">
        <v>20</v>
      </c>
      <c r="G54" s="14"/>
      <c r="H54" s="14"/>
      <c r="I54" s="14"/>
      <c r="J54" s="15"/>
    </row>
    <row r="55" spans="1:11" x14ac:dyDescent="0.25">
      <c r="A55" s="12"/>
      <c r="B55" s="16" t="s">
        <v>0</v>
      </c>
      <c r="C55" s="17" t="s">
        <v>1</v>
      </c>
      <c r="F55" s="12"/>
      <c r="G55" s="20" t="s">
        <v>5</v>
      </c>
      <c r="H55" s="20" t="s">
        <v>6</v>
      </c>
      <c r="I55" s="20" t="s">
        <v>7</v>
      </c>
      <c r="J55" s="21" t="s">
        <v>8</v>
      </c>
    </row>
    <row r="56" spans="1:11" x14ac:dyDescent="0.25">
      <c r="A56" s="18" t="s">
        <v>2</v>
      </c>
      <c r="B56" s="1">
        <f>SUM(B49:B52)</f>
        <v>0</v>
      </c>
      <c r="C56" s="3">
        <f>SUM(F49:F52)</f>
        <v>18</v>
      </c>
      <c r="F56" s="22" t="s">
        <v>0</v>
      </c>
      <c r="G56" s="1">
        <f>SUM(B49:D49)</f>
        <v>0</v>
      </c>
      <c r="H56" s="2">
        <f>SUM(B50:D50)</f>
        <v>1.1602434077079109</v>
      </c>
      <c r="I56" s="2">
        <f>SUM(B51:D51)</f>
        <v>2.9569377990430619</v>
      </c>
      <c r="J56" s="3">
        <f>SUM(B52:D52)</f>
        <v>5.0307328605200947</v>
      </c>
      <c r="K56" s="9" t="s">
        <v>24</v>
      </c>
    </row>
    <row r="57" spans="1:11" x14ac:dyDescent="0.25">
      <c r="A57" s="18" t="s">
        <v>3</v>
      </c>
      <c r="B57" s="4">
        <f>SUM(C49:C52)</f>
        <v>3.9655377302436126</v>
      </c>
      <c r="C57" s="5">
        <f>SUM(G49:G52)</f>
        <v>18.034462269756389</v>
      </c>
      <c r="D57" s="9" t="s">
        <v>24</v>
      </c>
      <c r="F57" s="23" t="s">
        <v>1</v>
      </c>
      <c r="G57" s="4">
        <f>SUM(F49:H49)</f>
        <v>3</v>
      </c>
      <c r="H57">
        <f>SUM(F50:H50)</f>
        <v>10.839756592292089</v>
      </c>
      <c r="I57">
        <f>SUM(F51:H51)</f>
        <v>18.043062200956939</v>
      </c>
      <c r="J57" s="5">
        <f>SUM(F52:H52)</f>
        <v>24.969267139479904</v>
      </c>
      <c r="K57" s="11" t="b">
        <f>SUM(G58:J58)=F44</f>
        <v>1</v>
      </c>
    </row>
    <row r="58" spans="1:11" x14ac:dyDescent="0.25">
      <c r="A58" s="19" t="s">
        <v>4</v>
      </c>
      <c r="B58" s="4">
        <f>SUM(D49:D52)</f>
        <v>5.1823763370274545</v>
      </c>
      <c r="C58" s="5">
        <f>SUM(H49:H52)</f>
        <v>20.817623662972544</v>
      </c>
      <c r="D58" s="11" t="b">
        <f>B59+C59=F44</f>
        <v>1</v>
      </c>
      <c r="G58" s="13">
        <f>SUM(G56:G57)</f>
        <v>3</v>
      </c>
      <c r="H58" s="14">
        <f t="shared" ref="H58:J58" si="13">SUM(H56:H57)</f>
        <v>12</v>
      </c>
      <c r="I58" s="14">
        <f t="shared" si="13"/>
        <v>21</v>
      </c>
      <c r="J58" s="14">
        <f t="shared" si="13"/>
        <v>30</v>
      </c>
      <c r="K58" s="15" t="s">
        <v>15</v>
      </c>
    </row>
    <row r="59" spans="1:11" x14ac:dyDescent="0.25">
      <c r="B59" s="13">
        <f>SUM(B56:B58)</f>
        <v>9.147914067271067</v>
      </c>
      <c r="C59" s="14">
        <f>SUM(C56:C58)</f>
        <v>56.852085932728933</v>
      </c>
      <c r="D59" s="15" t="s">
        <v>19</v>
      </c>
    </row>
    <row r="61" spans="1:11" x14ac:dyDescent="0.25">
      <c r="A61" s="13" t="s">
        <v>21</v>
      </c>
      <c r="B61" s="14"/>
      <c r="C61" s="15"/>
      <c r="E61" s="13" t="s">
        <v>22</v>
      </c>
      <c r="F61" s="14"/>
      <c r="G61" s="14"/>
      <c r="H61" s="14"/>
      <c r="I61" s="15"/>
    </row>
    <row r="62" spans="1:11" x14ac:dyDescent="0.25">
      <c r="A62" s="12"/>
      <c r="B62" s="43" t="s">
        <v>0</v>
      </c>
      <c r="C62" s="44" t="s">
        <v>1</v>
      </c>
      <c r="E62" s="12"/>
      <c r="F62" s="43" t="s">
        <v>5</v>
      </c>
      <c r="G62" s="43" t="s">
        <v>6</v>
      </c>
      <c r="H62" s="43" t="s">
        <v>7</v>
      </c>
      <c r="I62" s="44" t="s">
        <v>8</v>
      </c>
    </row>
    <row r="63" spans="1:11" x14ac:dyDescent="0.25">
      <c r="A63" s="18" t="s">
        <v>2</v>
      </c>
      <c r="B63" s="1">
        <f>B56/B$59</f>
        <v>0</v>
      </c>
      <c r="C63" s="3">
        <f>C56/C$59</f>
        <v>0.31661107424094809</v>
      </c>
      <c r="E63" s="18" t="s">
        <v>0</v>
      </c>
      <c r="F63" s="1">
        <f>G56/G$58</f>
        <v>0</v>
      </c>
      <c r="G63" s="2">
        <f>H56/H$58</f>
        <v>9.6686950642325908E-2</v>
      </c>
      <c r="H63" s="2">
        <f>I56/I$58</f>
        <v>0.14080656185919344</v>
      </c>
      <c r="I63" s="3">
        <f>J56/J$58</f>
        <v>0.16769109535066981</v>
      </c>
    </row>
    <row r="64" spans="1:11" x14ac:dyDescent="0.25">
      <c r="A64" s="18" t="s">
        <v>3</v>
      </c>
      <c r="B64" s="4">
        <f t="shared" ref="B64:C65" si="14">B57/B$59</f>
        <v>0.43349092493460428</v>
      </c>
      <c r="C64" s="5">
        <f t="shared" si="14"/>
        <v>0.31721724847696764</v>
      </c>
      <c r="E64" s="19" t="s">
        <v>1</v>
      </c>
      <c r="F64" s="6">
        <f>G57/G$58</f>
        <v>1</v>
      </c>
      <c r="G64" s="7">
        <f>H57/H$58</f>
        <v>0.90331304935767409</v>
      </c>
      <c r="H64" s="7">
        <f>I57/I$58</f>
        <v>0.85919343814080662</v>
      </c>
      <c r="I64" s="8">
        <f>J57/J$58</f>
        <v>0.83230890464933016</v>
      </c>
    </row>
    <row r="65" spans="1:9" x14ac:dyDescent="0.25">
      <c r="A65" s="19" t="s">
        <v>4</v>
      </c>
      <c r="B65" s="6">
        <f t="shared" si="14"/>
        <v>0.56650907506539572</v>
      </c>
      <c r="C65" s="8">
        <f t="shared" si="14"/>
        <v>0.36617167728208433</v>
      </c>
      <c r="E65" s="45" t="s">
        <v>26</v>
      </c>
      <c r="F65" t="b">
        <f>SUM(F62:F64)=1</f>
        <v>1</v>
      </c>
      <c r="G65" t="b">
        <f>SUM(G62:G64)=1</f>
        <v>1</v>
      </c>
      <c r="H65" t="b">
        <f t="shared" ref="H65:I65" si="15">SUM(H62:H64)=1</f>
        <v>1</v>
      </c>
      <c r="I65" t="b">
        <f t="shared" si="15"/>
        <v>1</v>
      </c>
    </row>
    <row r="66" spans="1:9" x14ac:dyDescent="0.25">
      <c r="A66" s="45" t="s">
        <v>25</v>
      </c>
      <c r="B66" t="b">
        <f>SUM(B63:B65)=1</f>
        <v>1</v>
      </c>
      <c r="C66" t="b">
        <f>SUM(C63:C65)=1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Нагаев</dc:creator>
  <cp:lastModifiedBy>Константин Нагаев</cp:lastModifiedBy>
  <dcterms:created xsi:type="dcterms:W3CDTF">2026-01-12T15:12:42Z</dcterms:created>
  <dcterms:modified xsi:type="dcterms:W3CDTF">2026-01-14T07:34:05Z</dcterms:modified>
</cp:coreProperties>
</file>